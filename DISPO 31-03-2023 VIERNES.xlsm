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barrague\Desktop\"/>
    </mc:Choice>
  </mc:AlternateContent>
  <xr:revisionPtr revIDLastSave="0" documentId="13_ncr:1_{8D50B2EC-79F8-4613-9908-92113D456B41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HOJAS DE RUTA" sheetId="20" r:id="rId1"/>
    <sheet name="Programacion" sheetId="3" r:id="rId2"/>
    <sheet name="Formulas" sheetId="12" r:id="rId3"/>
    <sheet name="Choferes" sheetId="7" r:id="rId4"/>
  </sheets>
  <definedNames>
    <definedName name="_xlnm._FilterDatabase" localSheetId="3" hidden="1">Choferes!$A$1:$E$163</definedName>
    <definedName name="_xlnm._FilterDatabase" localSheetId="1" hidden="1">Programacion!$A$8:$Z$67</definedName>
    <definedName name="_xlnm.Print_Area" localSheetId="1">Programacion!$A$1:$O$66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10" i="3" l="1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9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10" i="3"/>
  <c r="T11" i="3"/>
  <c r="T12" i="3"/>
  <c r="T13" i="3"/>
  <c r="T14" i="3"/>
  <c r="T15" i="3"/>
  <c r="T16" i="3"/>
  <c r="T17" i="3"/>
  <c r="T9" i="3"/>
  <c r="D15" i="7"/>
  <c r="D3" i="7"/>
  <c r="D35" i="7"/>
  <c r="D18" i="7"/>
  <c r="I7" i="3"/>
  <c r="J7" i="3"/>
  <c r="Q11" i="3" l="1"/>
  <c r="D111" i="7"/>
  <c r="D81" i="7"/>
  <c r="D155" i="7"/>
  <c r="D129" i="7"/>
  <c r="D46" i="7"/>
  <c r="D133" i="7"/>
  <c r="D4" i="7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5" i="3"/>
  <c r="S66" i="3"/>
  <c r="S67" i="3"/>
  <c r="S16" i="3"/>
  <c r="S17" i="3"/>
  <c r="S10" i="3"/>
  <c r="S11" i="3"/>
  <c r="S12" i="3"/>
  <c r="S13" i="3"/>
  <c r="S14" i="3"/>
  <c r="S15" i="3"/>
  <c r="S9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R48" i="3"/>
  <c r="R49" i="3"/>
  <c r="R50" i="3"/>
  <c r="R51" i="3"/>
  <c r="R52" i="3"/>
  <c r="R53" i="3"/>
  <c r="R54" i="3"/>
  <c r="R55" i="3"/>
  <c r="R56" i="3"/>
  <c r="R57" i="3"/>
  <c r="R58" i="3"/>
  <c r="R59" i="3"/>
  <c r="R60" i="3"/>
  <c r="R61" i="3"/>
  <c r="R62" i="3"/>
  <c r="R63" i="3"/>
  <c r="R65" i="3"/>
  <c r="R66" i="3"/>
  <c r="R67" i="3"/>
  <c r="R10" i="3"/>
  <c r="R11" i="3"/>
  <c r="R9" i="3"/>
  <c r="Q10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5" i="3"/>
  <c r="Q66" i="3"/>
  <c r="Q67" i="3"/>
  <c r="Q9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5" i="3"/>
  <c r="P66" i="3"/>
  <c r="P67" i="3"/>
  <c r="P9" i="3"/>
  <c r="D5" i="7"/>
  <c r="D6" i="7"/>
  <c r="D7" i="7"/>
  <c r="D8" i="7"/>
  <c r="D9" i="7"/>
  <c r="D10" i="7"/>
  <c r="D11" i="7"/>
  <c r="D12" i="7"/>
  <c r="D13" i="7"/>
  <c r="D14" i="7"/>
  <c r="D16" i="7"/>
  <c r="D17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6" i="7"/>
  <c r="D37" i="7"/>
  <c r="D38" i="7"/>
  <c r="D39" i="7"/>
  <c r="D40" i="7"/>
  <c r="D41" i="7"/>
  <c r="D42" i="7"/>
  <c r="D43" i="7"/>
  <c r="D44" i="7"/>
  <c r="D45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D101" i="7"/>
  <c r="D102" i="7"/>
  <c r="D103" i="7"/>
  <c r="D104" i="7"/>
  <c r="D105" i="7"/>
  <c r="D106" i="7"/>
  <c r="D107" i="7"/>
  <c r="D108" i="7"/>
  <c r="D109" i="7"/>
  <c r="D110" i="7"/>
  <c r="D112" i="7"/>
  <c r="D113" i="7"/>
  <c r="D114" i="7"/>
  <c r="D115" i="7"/>
  <c r="D116" i="7"/>
  <c r="D117" i="7"/>
  <c r="D118" i="7"/>
  <c r="D119" i="7"/>
  <c r="D120" i="7"/>
  <c r="D121" i="7"/>
  <c r="D122" i="7"/>
  <c r="D123" i="7"/>
  <c r="D124" i="7"/>
  <c r="D125" i="7"/>
  <c r="D126" i="7"/>
  <c r="D127" i="7"/>
  <c r="D128" i="7"/>
  <c r="D130" i="7"/>
  <c r="D131" i="7"/>
  <c r="D132" i="7"/>
  <c r="D134" i="7"/>
  <c r="D135" i="7"/>
  <c r="D136" i="7"/>
  <c r="D137" i="7"/>
  <c r="D138" i="7"/>
  <c r="D139" i="7"/>
  <c r="D140" i="7"/>
  <c r="D141" i="7"/>
  <c r="D142" i="7"/>
  <c r="D143" i="7"/>
  <c r="D144" i="7"/>
  <c r="D145" i="7"/>
  <c r="D146" i="7"/>
  <c r="D147" i="7"/>
  <c r="D148" i="7"/>
  <c r="D149" i="7"/>
  <c r="D150" i="7"/>
  <c r="D151" i="7"/>
  <c r="D152" i="7"/>
  <c r="D153" i="7"/>
  <c r="D154" i="7"/>
  <c r="D156" i="7"/>
  <c r="D157" i="7"/>
  <c r="D158" i="7"/>
  <c r="D159" i="7"/>
  <c r="D160" i="7"/>
  <c r="D161" i="7"/>
  <c r="D162" i="7"/>
  <c r="D163" i="7"/>
  <c r="D2" i="7" l="1"/>
  <c r="AG245" i="20" l="1"/>
  <c r="AG40" i="20"/>
  <c r="AG149" i="20"/>
  <c r="AG336" i="20"/>
  <c r="AG292" i="20"/>
  <c r="AF52" i="20"/>
  <c r="AF57" i="20"/>
  <c r="AF191" i="20"/>
  <c r="AF6" i="20"/>
  <c r="AF331" i="20"/>
  <c r="AF278" i="20"/>
  <c r="AF373" i="20"/>
  <c r="AG341" i="20"/>
  <c r="AG112" i="20"/>
  <c r="AG207" i="20"/>
  <c r="AG286" i="20"/>
  <c r="AG60" i="20"/>
  <c r="AF88" i="20"/>
  <c r="AF208" i="20"/>
  <c r="AF285" i="20"/>
  <c r="AF254" i="20"/>
  <c r="AF234" i="20"/>
  <c r="AF95" i="20"/>
  <c r="AF60" i="20"/>
  <c r="AF30" i="20"/>
  <c r="AF177" i="20"/>
  <c r="AF316" i="20"/>
  <c r="AF272" i="20"/>
  <c r="AF221" i="20"/>
  <c r="AF108" i="20"/>
  <c r="AF328" i="20"/>
  <c r="AF257" i="20"/>
  <c r="AF18" i="20"/>
  <c r="AF2" i="20"/>
  <c r="AF140" i="20"/>
  <c r="AF200" i="20"/>
  <c r="AF301" i="20"/>
  <c r="AF181" i="20"/>
  <c r="AF341" i="20"/>
  <c r="AF32" i="20"/>
  <c r="AF132" i="20"/>
  <c r="AF78" i="20"/>
  <c r="AF183" i="20"/>
  <c r="AF54" i="20"/>
  <c r="AF98" i="20"/>
  <c r="AF171" i="20"/>
  <c r="AF239" i="20"/>
  <c r="AF42" i="20"/>
  <c r="AG320" i="20" l="1"/>
  <c r="AF150" i="20"/>
  <c r="AF174" i="20"/>
  <c r="AF374" i="20"/>
  <c r="AF27" i="20"/>
  <c r="AF312" i="20"/>
  <c r="AF270" i="20"/>
  <c r="AF97" i="20"/>
  <c r="AF162" i="20"/>
  <c r="AG333" i="20"/>
  <c r="AF327" i="20"/>
  <c r="AF252" i="20"/>
  <c r="AF91" i="20"/>
  <c r="AF314" i="20"/>
  <c r="AF233" i="20"/>
  <c r="AF90" i="20"/>
  <c r="AF305" i="20"/>
  <c r="AF232" i="20"/>
  <c r="AF89" i="20"/>
  <c r="AF304" i="20"/>
  <c r="AF71" i="20"/>
  <c r="AF287" i="20"/>
  <c r="AF179" i="20"/>
  <c r="AF4" i="20"/>
  <c r="AF286" i="20"/>
  <c r="AF130" i="20"/>
  <c r="AG288" i="20"/>
  <c r="AF344" i="20"/>
  <c r="AF277" i="20"/>
  <c r="AF105" i="20"/>
  <c r="AG91" i="20"/>
  <c r="AG329" i="20"/>
  <c r="AG32" i="20"/>
  <c r="AG241" i="20"/>
  <c r="AF210" i="20"/>
  <c r="AF68" i="20"/>
  <c r="AF306" i="20"/>
  <c r="AF107" i="20"/>
  <c r="AG265" i="20"/>
  <c r="AG159" i="20"/>
  <c r="AG281" i="20"/>
  <c r="AG141" i="20"/>
  <c r="AG177" i="20"/>
  <c r="AG255" i="20"/>
  <c r="AG130" i="20"/>
  <c r="AF75" i="20"/>
  <c r="AF127" i="20"/>
  <c r="AF149" i="20"/>
  <c r="AF176" i="20"/>
  <c r="AG369" i="20"/>
  <c r="AG228" i="20"/>
  <c r="AG19" i="20"/>
  <c r="AG84" i="20"/>
  <c r="AG151" i="20"/>
  <c r="AF340" i="20"/>
  <c r="AG334" i="20"/>
  <c r="AG280" i="20"/>
  <c r="AG128" i="20"/>
  <c r="AG12" i="20"/>
  <c r="AG80" i="20"/>
  <c r="AF372" i="20"/>
  <c r="AF28" i="20"/>
  <c r="AF116" i="20"/>
  <c r="AF347" i="20"/>
  <c r="AF350" i="20"/>
  <c r="AG359" i="20"/>
  <c r="AG235" i="20"/>
  <c r="AG322" i="20"/>
  <c r="AG72" i="20"/>
  <c r="AG188" i="20"/>
  <c r="AF339" i="20"/>
  <c r="AF246" i="20"/>
  <c r="AG275" i="20"/>
  <c r="AG117" i="20"/>
  <c r="AG92" i="20"/>
  <c r="AG314" i="20"/>
  <c r="AG183" i="20"/>
  <c r="AF290" i="20"/>
  <c r="AF336" i="20"/>
  <c r="AF34" i="20"/>
  <c r="AF247" i="20"/>
  <c r="AG276" i="20"/>
  <c r="AG6" i="20"/>
  <c r="AG57" i="20"/>
  <c r="AG50" i="20"/>
  <c r="AF337" i="20"/>
  <c r="AF245" i="20"/>
  <c r="AG328" i="20"/>
  <c r="AG267" i="20"/>
  <c r="AG103" i="20"/>
  <c r="AG230" i="20"/>
  <c r="AG269" i="20"/>
  <c r="AG3" i="20"/>
  <c r="AG201" i="20"/>
  <c r="AG55" i="20"/>
  <c r="AG42" i="20"/>
  <c r="AF260" i="20"/>
  <c r="AF163" i="20"/>
  <c r="AG211" i="20"/>
  <c r="AG69" i="20"/>
  <c r="AG306" i="20"/>
  <c r="AG107" i="20"/>
  <c r="AF377" i="20"/>
  <c r="AF335" i="20"/>
  <c r="AF244" i="20"/>
  <c r="AF72" i="20"/>
  <c r="AG252" i="20"/>
  <c r="AG68" i="20"/>
  <c r="AG254" i="20"/>
  <c r="AG220" i="20"/>
  <c r="AG301" i="20"/>
  <c r="AG104" i="20"/>
  <c r="AF369" i="20"/>
  <c r="AF229" i="20"/>
  <c r="AF22" i="20"/>
  <c r="AF84" i="20"/>
  <c r="AF154" i="20"/>
  <c r="AG75" i="20"/>
  <c r="AG122" i="20"/>
  <c r="AG150" i="20"/>
  <c r="AG173" i="20"/>
  <c r="AF376" i="20"/>
  <c r="AF334" i="20"/>
  <c r="AF120" i="20"/>
  <c r="AG317" i="20"/>
  <c r="AG172" i="20"/>
  <c r="AG54" i="20"/>
  <c r="AG30" i="20"/>
  <c r="AG134" i="20"/>
  <c r="AG178" i="20"/>
  <c r="AG167" i="20"/>
  <c r="AF361" i="20"/>
  <c r="AF235" i="20"/>
  <c r="AF322" i="20"/>
  <c r="AF73" i="20"/>
  <c r="AF193" i="20"/>
  <c r="AG375" i="20"/>
  <c r="AG27" i="20"/>
  <c r="AG119" i="20"/>
  <c r="AG346" i="20"/>
  <c r="AG353" i="20"/>
  <c r="AF332" i="20"/>
  <c r="AF67" i="20"/>
  <c r="AG312" i="20"/>
  <c r="AG158" i="20"/>
  <c r="AG26" i="20"/>
  <c r="AF255" i="20"/>
  <c r="AF51" i="20"/>
  <c r="AF199" i="20"/>
  <c r="AG200" i="20"/>
  <c r="AG352" i="20"/>
  <c r="AF227" i="20"/>
  <c r="AG226" i="20"/>
  <c r="AF215" i="20"/>
  <c r="AG206" i="20"/>
  <c r="AF114" i="20"/>
  <c r="AF16" i="20"/>
  <c r="AG193" i="20"/>
  <c r="AG127" i="20"/>
  <c r="AF126" i="20"/>
  <c r="AG45" i="20"/>
  <c r="AF44" i="20"/>
  <c r="AF20" i="20"/>
  <c r="AG17" i="20"/>
  <c r="AF238" i="20"/>
  <c r="AF219" i="20"/>
  <c r="AG218" i="20"/>
  <c r="AF264" i="20"/>
  <c r="AG110" i="20"/>
  <c r="AG240" i="20"/>
  <c r="AF360" i="20"/>
  <c r="AF359" i="20"/>
  <c r="AF358" i="20"/>
  <c r="AF357" i="20"/>
  <c r="AG358" i="20"/>
  <c r="AF356" i="20"/>
  <c r="AF152" i="20"/>
  <c r="AG157" i="20"/>
  <c r="AG38" i="20"/>
  <c r="AF40" i="20"/>
  <c r="AF364" i="20"/>
  <c r="AF93" i="20"/>
  <c r="AF320" i="20"/>
  <c r="AF50" i="20"/>
  <c r="AG48" i="20"/>
  <c r="AF49" i="20"/>
  <c r="AG47" i="20"/>
  <c r="AF48" i="20"/>
  <c r="AG46" i="20"/>
  <c r="AG49" i="20"/>
  <c r="AF47" i="20"/>
  <c r="AG53" i="20"/>
  <c r="AF46" i="20"/>
  <c r="AG52" i="20"/>
  <c r="AF53" i="20"/>
  <c r="AG51" i="20"/>
  <c r="AF45" i="20"/>
  <c r="AF43" i="20"/>
  <c r="AG44" i="20"/>
  <c r="AG43" i="20"/>
  <c r="AF153" i="20"/>
  <c r="AF151" i="20"/>
  <c r="AG156" i="20"/>
  <c r="AG155" i="20"/>
  <c r="AF157" i="20"/>
  <c r="AG154" i="20"/>
  <c r="AF156" i="20"/>
  <c r="AG153" i="20"/>
  <c r="AF155" i="20"/>
  <c r="AG152" i="20"/>
  <c r="AF161" i="20"/>
  <c r="AG165" i="20"/>
  <c r="AF160" i="20"/>
  <c r="AG164" i="20"/>
  <c r="AF159" i="20"/>
  <c r="AG163" i="20"/>
  <c r="AF158" i="20"/>
  <c r="AG162" i="20"/>
  <c r="AF165" i="20"/>
  <c r="AG161" i="20"/>
  <c r="AF164" i="20"/>
  <c r="AG160" i="20"/>
  <c r="AG244" i="20"/>
  <c r="AF243" i="20"/>
  <c r="AG249" i="20"/>
  <c r="AG248" i="20"/>
  <c r="AF249" i="20"/>
  <c r="AG247" i="20"/>
  <c r="AG243" i="20"/>
  <c r="AF248" i="20"/>
  <c r="AG246" i="20"/>
  <c r="AG239" i="20"/>
  <c r="AG238" i="20"/>
  <c r="AF242" i="20"/>
  <c r="AF241" i="20"/>
  <c r="AF240" i="20"/>
  <c r="AG242" i="20"/>
  <c r="AF353" i="20"/>
  <c r="AG351" i="20"/>
  <c r="AF352" i="20"/>
  <c r="AG350" i="20"/>
  <c r="AF351" i="20"/>
  <c r="AF175" i="20"/>
  <c r="AF173" i="20"/>
  <c r="AG176" i="20"/>
  <c r="AG175" i="20"/>
  <c r="AG174" i="20"/>
  <c r="AF169" i="20"/>
  <c r="AF168" i="20"/>
  <c r="AF170" i="20"/>
  <c r="AG166" i="20"/>
  <c r="AF167" i="20"/>
  <c r="AG171" i="20"/>
  <c r="AF166" i="20"/>
  <c r="AG170" i="20"/>
  <c r="AG169" i="20"/>
  <c r="AF172" i="20"/>
  <c r="AG168" i="20"/>
  <c r="AF104" i="20"/>
  <c r="AG102" i="20"/>
  <c r="AF103" i="20"/>
  <c r="AG101" i="20"/>
  <c r="AF102" i="20"/>
  <c r="AG100" i="20"/>
  <c r="AF101" i="20"/>
  <c r="AG99" i="20"/>
  <c r="AF100" i="20"/>
  <c r="AG106" i="20"/>
  <c r="AG98" i="20"/>
  <c r="AF99" i="20"/>
  <c r="AG105" i="20"/>
  <c r="AG97" i="20"/>
  <c r="AF106" i="20"/>
  <c r="AF59" i="20"/>
  <c r="AF58" i="20"/>
  <c r="AG59" i="20"/>
  <c r="AG58" i="20"/>
  <c r="AF56" i="20"/>
  <c r="AF55" i="20"/>
  <c r="AG56" i="20"/>
  <c r="AF192" i="20"/>
  <c r="AG194" i="20"/>
  <c r="AF190" i="20"/>
  <c r="AG192" i="20"/>
  <c r="AF189" i="20"/>
  <c r="AG191" i="20"/>
  <c r="AF188" i="20"/>
  <c r="AG190" i="20"/>
  <c r="AG189" i="20"/>
  <c r="AF194" i="20"/>
  <c r="AG187" i="20"/>
  <c r="AF187" i="20"/>
  <c r="AG186" i="20"/>
  <c r="AF186" i="20"/>
  <c r="AG185" i="20"/>
  <c r="AF185" i="20"/>
  <c r="AG184" i="20"/>
  <c r="AF184" i="20"/>
  <c r="AF83" i="20"/>
  <c r="AF82" i="20"/>
  <c r="AG82" i="20"/>
  <c r="AG83" i="20"/>
  <c r="AF87" i="20"/>
  <c r="AG87" i="20"/>
  <c r="AF86" i="20"/>
  <c r="AG86" i="20"/>
  <c r="AF85" i="20"/>
  <c r="AG85" i="20"/>
  <c r="AG79" i="20"/>
  <c r="AF81" i="20"/>
  <c r="AF80" i="20"/>
  <c r="AG78" i="20"/>
  <c r="AF79" i="20"/>
  <c r="AG81" i="20"/>
  <c r="AF131" i="20"/>
  <c r="AG129" i="20"/>
  <c r="AF129" i="20"/>
  <c r="AF128" i="20"/>
  <c r="AG133" i="20"/>
  <c r="AG132" i="20"/>
  <c r="AF133" i="20"/>
  <c r="AG131" i="20"/>
  <c r="AF41" i="20"/>
  <c r="AG39" i="20"/>
  <c r="AF39" i="20"/>
  <c r="AG37" i="20"/>
  <c r="AF38" i="20"/>
  <c r="AG36" i="20"/>
  <c r="AF37" i="20"/>
  <c r="AG35" i="20"/>
  <c r="AF36" i="20"/>
  <c r="AG34" i="20"/>
  <c r="AF35" i="20"/>
  <c r="AG41" i="20"/>
  <c r="AF33" i="20"/>
  <c r="AG33" i="20"/>
  <c r="AF346" i="20"/>
  <c r="AG349" i="20"/>
  <c r="AG348" i="20"/>
  <c r="AF349" i="20"/>
  <c r="AG347" i="20"/>
  <c r="AF348" i="20"/>
  <c r="AF345" i="20"/>
  <c r="AF343" i="20"/>
  <c r="AG345" i="20"/>
  <c r="AF342" i="20"/>
  <c r="AG344" i="20"/>
  <c r="AG343" i="20"/>
  <c r="AG342" i="20"/>
  <c r="AF180" i="20"/>
  <c r="AF178" i="20"/>
  <c r="AG182" i="20"/>
  <c r="AG181" i="20"/>
  <c r="AG180" i="20"/>
  <c r="AG179" i="20"/>
  <c r="AF182" i="20"/>
  <c r="AF313" i="20"/>
  <c r="AG313" i="20"/>
  <c r="AF311" i="20"/>
  <c r="AG311" i="20"/>
  <c r="AF310" i="20"/>
  <c r="AG310" i="20"/>
  <c r="AF309" i="20"/>
  <c r="AG309" i="20"/>
  <c r="AF308" i="20"/>
  <c r="AG308" i="20"/>
  <c r="AF307" i="20"/>
  <c r="AG307" i="20"/>
  <c r="AF303" i="20"/>
  <c r="AF302" i="20"/>
  <c r="AG305" i="20"/>
  <c r="AG304" i="20"/>
  <c r="AG303" i="20"/>
  <c r="AG302" i="20"/>
  <c r="AF198" i="20"/>
  <c r="AG199" i="20"/>
  <c r="AF197" i="20"/>
  <c r="AG198" i="20"/>
  <c r="AF204" i="20"/>
  <c r="AF196" i="20"/>
  <c r="AG197" i="20"/>
  <c r="AF203" i="20"/>
  <c r="AF195" i="20"/>
  <c r="AG204" i="20"/>
  <c r="AG196" i="20"/>
  <c r="AF202" i="20"/>
  <c r="AG203" i="20"/>
  <c r="AG195" i="20"/>
  <c r="AF201" i="20"/>
  <c r="AG202" i="20"/>
  <c r="AG71" i="20"/>
  <c r="AG73" i="20"/>
  <c r="AF147" i="20"/>
  <c r="AG148" i="20"/>
  <c r="AF148" i="20"/>
  <c r="AF146" i="20"/>
  <c r="AG147" i="20"/>
  <c r="AF145" i="20"/>
  <c r="AG146" i="20"/>
  <c r="AF144" i="20"/>
  <c r="AG145" i="20"/>
  <c r="AF143" i="20"/>
  <c r="AG144" i="20"/>
  <c r="AG143" i="20"/>
  <c r="AF138" i="20"/>
  <c r="AG140" i="20"/>
  <c r="AF137" i="20"/>
  <c r="AG139" i="20"/>
  <c r="AF136" i="20"/>
  <c r="AG138" i="20"/>
  <c r="AF139" i="20"/>
  <c r="AF135" i="20"/>
  <c r="AG137" i="20"/>
  <c r="AF142" i="20"/>
  <c r="AF134" i="20"/>
  <c r="AG136" i="20"/>
  <c r="AF141" i="20"/>
  <c r="AG135" i="20"/>
  <c r="AG142" i="20"/>
  <c r="AF10" i="20"/>
  <c r="AF11" i="20"/>
  <c r="AF9" i="20"/>
  <c r="AG11" i="20"/>
  <c r="AF8" i="20"/>
  <c r="AG10" i="20"/>
  <c r="AF7" i="20"/>
  <c r="AG9" i="20"/>
  <c r="AG8" i="20"/>
  <c r="AG7" i="20"/>
  <c r="AF5" i="20"/>
  <c r="AF3" i="20"/>
  <c r="AG2" i="20"/>
  <c r="AG5" i="20"/>
  <c r="AG4" i="20"/>
  <c r="AF21" i="20"/>
  <c r="AG24" i="20"/>
  <c r="AF19" i="20"/>
  <c r="AG22" i="20"/>
  <c r="AG21" i="20"/>
  <c r="AG20" i="20"/>
  <c r="AG23" i="20"/>
  <c r="AF24" i="20"/>
  <c r="AF23" i="20"/>
  <c r="AF17" i="20"/>
  <c r="AG18" i="20"/>
  <c r="AF15" i="20"/>
  <c r="AG16" i="20"/>
  <c r="AF14" i="20"/>
  <c r="AG15" i="20"/>
  <c r="AF13" i="20"/>
  <c r="AG14" i="20"/>
  <c r="AF12" i="20"/>
  <c r="AG13" i="20"/>
  <c r="AF265" i="20"/>
  <c r="AG264" i="20"/>
  <c r="AF263" i="20"/>
  <c r="AG262" i="20"/>
  <c r="AF262" i="20"/>
  <c r="AG261" i="20"/>
  <c r="AF261" i="20"/>
  <c r="AG260" i="20"/>
  <c r="AG263" i="20"/>
  <c r="AF256" i="20"/>
  <c r="AG259" i="20"/>
  <c r="AG258" i="20"/>
  <c r="AG257" i="20"/>
  <c r="AG256" i="20"/>
  <c r="AF259" i="20"/>
  <c r="AF258" i="20"/>
  <c r="AF333" i="20"/>
  <c r="AG335" i="20"/>
  <c r="AF338" i="20"/>
  <c r="AG340" i="20"/>
  <c r="AG332" i="20"/>
  <c r="AG339" i="20"/>
  <c r="AG331" i="20"/>
  <c r="AG338" i="20"/>
  <c r="AG337" i="20"/>
  <c r="AF326" i="20"/>
  <c r="AG327" i="20"/>
  <c r="AF325" i="20"/>
  <c r="AG326" i="20"/>
  <c r="AF324" i="20"/>
  <c r="AG325" i="20"/>
  <c r="AF323" i="20"/>
  <c r="AG324" i="20"/>
  <c r="AF330" i="20"/>
  <c r="AG323" i="20"/>
  <c r="AF329" i="20"/>
  <c r="AG330" i="20"/>
  <c r="AF121" i="20"/>
  <c r="AG118" i="20"/>
  <c r="AF119" i="20"/>
  <c r="AG116" i="20"/>
  <c r="AF118" i="20"/>
  <c r="AF117" i="20"/>
  <c r="AG121" i="20"/>
  <c r="AG120" i="20"/>
  <c r="AF115" i="20"/>
  <c r="AG111" i="20"/>
  <c r="AF113" i="20"/>
  <c r="AG109" i="20"/>
  <c r="AF112" i="20"/>
  <c r="AG108" i="20"/>
  <c r="AF111" i="20"/>
  <c r="AG115" i="20"/>
  <c r="AF110" i="20"/>
  <c r="AG114" i="20"/>
  <c r="AF109" i="20"/>
  <c r="AG113" i="20"/>
  <c r="AF125" i="20"/>
  <c r="AG126" i="20"/>
  <c r="AF124" i="20"/>
  <c r="AG125" i="20"/>
  <c r="AF123" i="20"/>
  <c r="AG124" i="20"/>
  <c r="AF122" i="20"/>
  <c r="AG123" i="20"/>
  <c r="AF220" i="20"/>
  <c r="AG219" i="20"/>
  <c r="AF218" i="20"/>
  <c r="AG217" i="20"/>
  <c r="AF217" i="20"/>
  <c r="AG223" i="20"/>
  <c r="AF223" i="20"/>
  <c r="AG222" i="20"/>
  <c r="AF222" i="20"/>
  <c r="AG221" i="20"/>
  <c r="AF276" i="20"/>
  <c r="AG274" i="20"/>
  <c r="AF275" i="20"/>
  <c r="AF274" i="20"/>
  <c r="AG279" i="20"/>
  <c r="AG278" i="20"/>
  <c r="AF279" i="20"/>
  <c r="AG277" i="20"/>
  <c r="AF271" i="20"/>
  <c r="AG268" i="20"/>
  <c r="AF269" i="20"/>
  <c r="AG266" i="20"/>
  <c r="AF268" i="20"/>
  <c r="AG273" i="20"/>
  <c r="AF267" i="20"/>
  <c r="AG272" i="20"/>
  <c r="AF266" i="20"/>
  <c r="AG271" i="20"/>
  <c r="AF273" i="20"/>
  <c r="AG270" i="20"/>
  <c r="AF321" i="20"/>
  <c r="AG321" i="20"/>
  <c r="AF319" i="20"/>
  <c r="AG319" i="20"/>
  <c r="AF318" i="20"/>
  <c r="AG318" i="20"/>
  <c r="AF315" i="20"/>
  <c r="AG316" i="20"/>
  <c r="AG315" i="20"/>
  <c r="AF317" i="20"/>
  <c r="AF228" i="20"/>
  <c r="AG227" i="20"/>
  <c r="AF226" i="20"/>
  <c r="AG225" i="20"/>
  <c r="AF225" i="20"/>
  <c r="AG224" i="20"/>
  <c r="AF224" i="20"/>
  <c r="AG229" i="20"/>
  <c r="AG25" i="20"/>
  <c r="AF25" i="20"/>
  <c r="AF26" i="20"/>
  <c r="AG29" i="20"/>
  <c r="AF29" i="20"/>
  <c r="AG28" i="20"/>
  <c r="AF31" i="20"/>
  <c r="AG31" i="20"/>
  <c r="AF66" i="20"/>
  <c r="AG67" i="20"/>
  <c r="AF65" i="20"/>
  <c r="AG66" i="20"/>
  <c r="AF64" i="20"/>
  <c r="AG65" i="20"/>
  <c r="AF63" i="20"/>
  <c r="AG64" i="20"/>
  <c r="AF70" i="20"/>
  <c r="AF62" i="20"/>
  <c r="AG63" i="20"/>
  <c r="AF69" i="20"/>
  <c r="AG70" i="20"/>
  <c r="AG62" i="20"/>
  <c r="AF61" i="20"/>
  <c r="AG61" i="20"/>
  <c r="AF94" i="20"/>
  <c r="AF92" i="20"/>
  <c r="AG96" i="20"/>
  <c r="AG95" i="20"/>
  <c r="AG94" i="20"/>
  <c r="AG93" i="20"/>
  <c r="AF96" i="20"/>
  <c r="AF237" i="20"/>
  <c r="AF236" i="20"/>
  <c r="AG237" i="20"/>
  <c r="AG236" i="20"/>
  <c r="AF231" i="20"/>
  <c r="AF230" i="20"/>
  <c r="AG234" i="20"/>
  <c r="AG233" i="20"/>
  <c r="AG232" i="20"/>
  <c r="AG231" i="20"/>
  <c r="AF253" i="20"/>
  <c r="AG253" i="20"/>
  <c r="AF251" i="20"/>
  <c r="AG251" i="20"/>
  <c r="AF250" i="20"/>
  <c r="AG250" i="20"/>
  <c r="AF297" i="20"/>
  <c r="AF296" i="20"/>
  <c r="AF289" i="20"/>
  <c r="AG299" i="20"/>
  <c r="AG291" i="20"/>
  <c r="AF295" i="20"/>
  <c r="AG298" i="20"/>
  <c r="AG290" i="20"/>
  <c r="AF294" i="20"/>
  <c r="AG297" i="20"/>
  <c r="AG289" i="20"/>
  <c r="AG296" i="20"/>
  <c r="AF293" i="20"/>
  <c r="AG295" i="20"/>
  <c r="AF300" i="20"/>
  <c r="AF292" i="20"/>
  <c r="AF299" i="20"/>
  <c r="AF291" i="20"/>
  <c r="AG294" i="20"/>
  <c r="AF298" i="20"/>
  <c r="AG293" i="20"/>
  <c r="AG300" i="20"/>
  <c r="AF284" i="20"/>
  <c r="AF283" i="20"/>
  <c r="AG285" i="20"/>
  <c r="AF282" i="20"/>
  <c r="AG284" i="20"/>
  <c r="AF281" i="20"/>
  <c r="AG283" i="20"/>
  <c r="AF288" i="20"/>
  <c r="AF280" i="20"/>
  <c r="AG282" i="20"/>
  <c r="AG287" i="20"/>
  <c r="AG374" i="20"/>
  <c r="AF375" i="20"/>
  <c r="AG372" i="20"/>
  <c r="AG377" i="20"/>
  <c r="AG373" i="20"/>
  <c r="AG376" i="20"/>
  <c r="AF74" i="20"/>
  <c r="AG74" i="20"/>
  <c r="AF77" i="20"/>
  <c r="AG77" i="20"/>
  <c r="AF76" i="20"/>
  <c r="AG76" i="20"/>
  <c r="AF216" i="20"/>
  <c r="AG210" i="20"/>
  <c r="AF214" i="20"/>
  <c r="AG216" i="20"/>
  <c r="AF213" i="20"/>
  <c r="AG215" i="20"/>
  <c r="AF212" i="20"/>
  <c r="AG214" i="20"/>
  <c r="AF211" i="20"/>
  <c r="AG213" i="20"/>
  <c r="AG212" i="20"/>
  <c r="AF206" i="20"/>
  <c r="AG205" i="20"/>
  <c r="AF205" i="20"/>
  <c r="AG209" i="20"/>
  <c r="AF209" i="20"/>
  <c r="AG208" i="20"/>
  <c r="AF207" i="20"/>
  <c r="AG357" i="20"/>
  <c r="AG356" i="20"/>
  <c r="AG363" i="20"/>
  <c r="AG355" i="20"/>
  <c r="AF363" i="20"/>
  <c r="AF355" i="20"/>
  <c r="AF362" i="20"/>
  <c r="AF354" i="20"/>
  <c r="AG362" i="20"/>
  <c r="AG354" i="20"/>
  <c r="AG361" i="20"/>
  <c r="AG360" i="20"/>
  <c r="AG367" i="20"/>
  <c r="AF370" i="20"/>
  <c r="AG366" i="20"/>
  <c r="AF368" i="20"/>
  <c r="AF367" i="20"/>
  <c r="AF366" i="20"/>
  <c r="AG368" i="20"/>
  <c r="AF365" i="20"/>
  <c r="AG364" i="20"/>
  <c r="AF371" i="20"/>
  <c r="AG371" i="20"/>
  <c r="AG370" i="20"/>
  <c r="AG365" i="20"/>
  <c r="AG90" i="20"/>
  <c r="AG89" i="20"/>
  <c r="AG88" i="20"/>
</calcChain>
</file>

<file path=xl/sharedStrings.xml><?xml version="1.0" encoding="utf-8"?>
<sst xmlns="http://schemas.openxmlformats.org/spreadsheetml/2006/main" count="12118" uniqueCount="1616">
  <si>
    <t>UNIDADES DISPONIBLES</t>
  </si>
  <si>
    <t>UNIDADES EN VIAJE</t>
  </si>
  <si>
    <t>UNIDADES AFECTADAS AL SERVICIO</t>
  </si>
  <si>
    <t>Unidad</t>
  </si>
  <si>
    <t>Observaciones</t>
  </si>
  <si>
    <t>Chofer</t>
  </si>
  <si>
    <t>DNI</t>
  </si>
  <si>
    <t>Horario</t>
  </si>
  <si>
    <t>Cisternado</t>
  </si>
  <si>
    <t>UNIDADES EN REPARACION</t>
  </si>
  <si>
    <t>Capacidad</t>
  </si>
  <si>
    <t>P.Tractor</t>
  </si>
  <si>
    <t>P.Semi</t>
  </si>
  <si>
    <t>DISPONIBLE</t>
  </si>
  <si>
    <t>MANTENIMIENTO</t>
  </si>
  <si>
    <t>FECHA</t>
  </si>
  <si>
    <t>7-7-5-5-5-7</t>
  </si>
  <si>
    <t>7-7-6-5-5-7</t>
  </si>
  <si>
    <t>10-4-7-4-5-6</t>
  </si>
  <si>
    <t>10-4-6-4-5-7</t>
  </si>
  <si>
    <t>5-5-5-5-5</t>
  </si>
  <si>
    <t>SACRISTAN, JORGE</t>
  </si>
  <si>
    <t xml:space="preserve">GALVAN, LUIS </t>
  </si>
  <si>
    <t>Terminal</t>
  </si>
  <si>
    <t>T. La Matanza</t>
  </si>
  <si>
    <t>FERNANDEZ, SIMON</t>
  </si>
  <si>
    <t>7-6-6-5-5-7</t>
  </si>
  <si>
    <t>VELIZ, GABRIEL</t>
  </si>
  <si>
    <t>ACOSTA ,SERGIO</t>
  </si>
  <si>
    <t>6-6-5-5-4-4</t>
  </si>
  <si>
    <t>GOMEZ, ALFREDO</t>
  </si>
  <si>
    <t>GARCIA, WALTER</t>
  </si>
  <si>
    <t>COVAIA, CARLOS</t>
  </si>
  <si>
    <t>RUIZ, CRISTIAN</t>
  </si>
  <si>
    <t>POHL, ULISES</t>
  </si>
  <si>
    <t>SALOMON, HERNAN</t>
  </si>
  <si>
    <t>BARISON, CRISTIAN</t>
  </si>
  <si>
    <t>PUENTES, FABIAN</t>
  </si>
  <si>
    <t>ROUXEL SIXTO</t>
  </si>
  <si>
    <t>GALEANO MARTIN</t>
  </si>
  <si>
    <t>FRANCO</t>
  </si>
  <si>
    <t>AB766MX</t>
  </si>
  <si>
    <t>AC949PE</t>
  </si>
  <si>
    <t>AC949PF</t>
  </si>
  <si>
    <t xml:space="preserve">BLANCO RUBEN </t>
  </si>
  <si>
    <t>23.123.715</t>
  </si>
  <si>
    <t>AD365AY</t>
  </si>
  <si>
    <t>7-7-7-5-5-6-6</t>
  </si>
  <si>
    <t>7-7-6-8-5-5-6</t>
  </si>
  <si>
    <t>7-5-6-7-7-5-6</t>
  </si>
  <si>
    <t>AD647YM</t>
  </si>
  <si>
    <t>AD647YE</t>
  </si>
  <si>
    <t>23.838.374</t>
  </si>
  <si>
    <t>29.490.785</t>
  </si>
  <si>
    <t>24.249.329</t>
  </si>
  <si>
    <t>25.734.366</t>
  </si>
  <si>
    <t>LUENGO, DIEGO</t>
  </si>
  <si>
    <t>26.329.300</t>
  </si>
  <si>
    <t>CISA, MARCELO</t>
  </si>
  <si>
    <t>25.887.569</t>
  </si>
  <si>
    <t>GOMEZ, MAXI</t>
  </si>
  <si>
    <t>29.022.978</t>
  </si>
  <si>
    <t>24.011.761</t>
  </si>
  <si>
    <t>LEWENEC, PABLO</t>
  </si>
  <si>
    <t>23.216.457</t>
  </si>
  <si>
    <t>FERRERIA, PABLO</t>
  </si>
  <si>
    <t>34.584.425</t>
  </si>
  <si>
    <t>21.732.756</t>
  </si>
  <si>
    <t>SERVETT, JOSE</t>
  </si>
  <si>
    <t>18.619.331</t>
  </si>
  <si>
    <t>GALEANO, LUIS</t>
  </si>
  <si>
    <t>92.163.317</t>
  </si>
  <si>
    <t>CARMARAN, LUCAS</t>
  </si>
  <si>
    <t>31.369.804</t>
  </si>
  <si>
    <t>BOLLANA, DAMIAN</t>
  </si>
  <si>
    <t>27.282.900</t>
  </si>
  <si>
    <t>RODRIGUEZ, JORGE</t>
  </si>
  <si>
    <t>17.212.799</t>
  </si>
  <si>
    <t>PEREIRA NORBERTO</t>
  </si>
  <si>
    <t>26.266.711</t>
  </si>
  <si>
    <t>26.505.826</t>
  </si>
  <si>
    <t>X</t>
  </si>
  <si>
    <t>AD783KF</t>
  </si>
  <si>
    <t>AD783KL</t>
  </si>
  <si>
    <t>AD783KG</t>
  </si>
  <si>
    <t>ORTIZ DAMIAN</t>
  </si>
  <si>
    <t>FEIJOO, SERGIO</t>
  </si>
  <si>
    <t>BALBO ERASMO</t>
  </si>
  <si>
    <t>QUINTEROS E</t>
  </si>
  <si>
    <t>OMG-194</t>
  </si>
  <si>
    <t>NYN-888</t>
  </si>
  <si>
    <t>IRN-003</t>
  </si>
  <si>
    <t>KALAYDJIAN, MANUEL</t>
  </si>
  <si>
    <t>24.910.776</t>
  </si>
  <si>
    <t>JXR-997</t>
  </si>
  <si>
    <t>ANTONELLI, DAMIAN</t>
  </si>
  <si>
    <t>KNT-122</t>
  </si>
  <si>
    <t>MNB-169</t>
  </si>
  <si>
    <t>18.504.732</t>
  </si>
  <si>
    <t>IRN-000</t>
  </si>
  <si>
    <t>KNT-114</t>
  </si>
  <si>
    <t>MQS-840</t>
  </si>
  <si>
    <t>BURGOS, JORGE</t>
  </si>
  <si>
    <t>GZK-448</t>
  </si>
  <si>
    <t>HCZ-541</t>
  </si>
  <si>
    <t>HCZ-538</t>
  </si>
  <si>
    <t>HCZ-537</t>
  </si>
  <si>
    <t>HCZ-539</t>
  </si>
  <si>
    <t>OAQ-860</t>
  </si>
  <si>
    <t>IRN-001</t>
  </si>
  <si>
    <t>27.930.786</t>
  </si>
  <si>
    <t>JUS-891</t>
  </si>
  <si>
    <t>KNT-113</t>
  </si>
  <si>
    <t>KHO-071</t>
  </si>
  <si>
    <t>JRO-857</t>
  </si>
  <si>
    <t>JUS-917</t>
  </si>
  <si>
    <t>BERTOLDI, JUAN</t>
  </si>
  <si>
    <t>JUS-890</t>
  </si>
  <si>
    <t>KTC-402</t>
  </si>
  <si>
    <t>PATZI, RAUL</t>
  </si>
  <si>
    <t>JXR-998</t>
  </si>
  <si>
    <t>VALENZUELA, LEONARDO</t>
  </si>
  <si>
    <t>JXR-994</t>
  </si>
  <si>
    <t>LZF-925</t>
  </si>
  <si>
    <t>IRW-310</t>
  </si>
  <si>
    <t>ITU-969</t>
  </si>
  <si>
    <t>ISY-356</t>
  </si>
  <si>
    <t>LVK-470</t>
  </si>
  <si>
    <t>MBQ-555</t>
  </si>
  <si>
    <t>LVK-472</t>
  </si>
  <si>
    <t>MBQ-556</t>
  </si>
  <si>
    <t>LVK-459</t>
  </si>
  <si>
    <t>MBQ-557</t>
  </si>
  <si>
    <t>MEQ-506</t>
  </si>
  <si>
    <t>MAX-508</t>
  </si>
  <si>
    <t>MEB-573</t>
  </si>
  <si>
    <t>MFN-538</t>
  </si>
  <si>
    <t>MAX-510</t>
  </si>
  <si>
    <t>IKQ-804</t>
  </si>
  <si>
    <t>MEB-559</t>
  </si>
  <si>
    <t>MNB-171</t>
  </si>
  <si>
    <t>MEB-560</t>
  </si>
  <si>
    <t>MNB-173</t>
  </si>
  <si>
    <t>MEB-572</t>
  </si>
  <si>
    <t>MNB-174</t>
  </si>
  <si>
    <t>LZZ-794</t>
  </si>
  <si>
    <t>30.490.263</t>
  </si>
  <si>
    <t>32.102.589</t>
  </si>
  <si>
    <t>OTX-642</t>
  </si>
  <si>
    <t>KSJ-184</t>
  </si>
  <si>
    <t>IOI-088</t>
  </si>
  <si>
    <t>OLAS CLAUDIO</t>
  </si>
  <si>
    <t>28.046.805</t>
  </si>
  <si>
    <t>26.146.775</t>
  </si>
  <si>
    <t>AB023XJ</t>
  </si>
  <si>
    <t>IVA-840</t>
  </si>
  <si>
    <t>MUÑOZ, CARLOS</t>
  </si>
  <si>
    <t>22.213.798</t>
  </si>
  <si>
    <t>AB340LK</t>
  </si>
  <si>
    <t>AB316UW</t>
  </si>
  <si>
    <t>AB023XH</t>
  </si>
  <si>
    <t>IVY-575</t>
  </si>
  <si>
    <t>KKI-335</t>
  </si>
  <si>
    <t>AB316UZ</t>
  </si>
  <si>
    <t>IVY-574</t>
  </si>
  <si>
    <t>KRE-044</t>
  </si>
  <si>
    <t>IVA-839</t>
  </si>
  <si>
    <t>CAMA EMILIANO</t>
  </si>
  <si>
    <t>PAPPALARDO</t>
  </si>
  <si>
    <t>KRE-033</t>
  </si>
  <si>
    <t>IOI-085</t>
  </si>
  <si>
    <t>KUG-318</t>
  </si>
  <si>
    <t>IOI-083</t>
  </si>
  <si>
    <t>KSJ-188</t>
  </si>
  <si>
    <t>IVA-841</t>
  </si>
  <si>
    <t>YORKE</t>
  </si>
  <si>
    <t>27.723.300</t>
  </si>
  <si>
    <t>8-7-6-5-5-5</t>
  </si>
  <si>
    <t>AE583LH</t>
  </si>
  <si>
    <t>AB340EL</t>
  </si>
  <si>
    <t>IKW-511</t>
  </si>
  <si>
    <t>AE324RZ</t>
  </si>
  <si>
    <t>KER-988</t>
  </si>
  <si>
    <t>AD141DE</t>
  </si>
  <si>
    <t>&lt;</t>
  </si>
  <si>
    <t>AE668XZ</t>
  </si>
  <si>
    <t>AE668YH</t>
  </si>
  <si>
    <t>AE786KJ</t>
  </si>
  <si>
    <t>AE786KI</t>
  </si>
  <si>
    <t>AE786KH</t>
  </si>
  <si>
    <t>AE668YC</t>
  </si>
  <si>
    <t>AE733LN</t>
  </si>
  <si>
    <t>AE853WE</t>
  </si>
  <si>
    <t>AE869RN</t>
  </si>
  <si>
    <t>AB023XG</t>
  </si>
  <si>
    <t>KKI-334</t>
  </si>
  <si>
    <t>AB023XF</t>
  </si>
  <si>
    <t>KHA-258</t>
  </si>
  <si>
    <t>AB023XI</t>
  </si>
  <si>
    <t>KKI-332</t>
  </si>
  <si>
    <t>Mañana</t>
  </si>
  <si>
    <t>Tarde</t>
  </si>
  <si>
    <t>SJMLGH_CODEMP</t>
  </si>
  <si>
    <t>SJMLGH_NROLEG</t>
  </si>
  <si>
    <t>SJMLGH_NOMBRE</t>
  </si>
  <si>
    <t>GB01</t>
  </si>
  <si>
    <t xml:space="preserve">   170</t>
  </si>
  <si>
    <t>MANSILLA ROBERTO DARIO</t>
  </si>
  <si>
    <t xml:space="preserve">   281</t>
  </si>
  <si>
    <t>CANTERO CAÑETE VICTOR CEFERINO</t>
  </si>
  <si>
    <t xml:space="preserve">   360</t>
  </si>
  <si>
    <t>MARINI WALTER MAXIMILIANO</t>
  </si>
  <si>
    <t xml:space="preserve">   458</t>
  </si>
  <si>
    <t>BOLLANA DAMIAN ARIEL</t>
  </si>
  <si>
    <t xml:space="preserve">   484</t>
  </si>
  <si>
    <t>BARISON CRISTIAN ALFREDO</t>
  </si>
  <si>
    <t xml:space="preserve">   489</t>
  </si>
  <si>
    <t>SANTILLAN NEMESIO DURBAL</t>
  </si>
  <si>
    <t xml:space="preserve">   498</t>
  </si>
  <si>
    <t>REYNA NESTOR EDUARDO</t>
  </si>
  <si>
    <t xml:space="preserve">   563</t>
  </si>
  <si>
    <t>FERNANDEZ LEONARDO RUBEN</t>
  </si>
  <si>
    <t xml:space="preserve">   704</t>
  </si>
  <si>
    <t>LA BELLA PABLO  ALEJANDRO</t>
  </si>
  <si>
    <t xml:space="preserve">   737</t>
  </si>
  <si>
    <t>PARINI SEBASTIAN ALEJANDRO</t>
  </si>
  <si>
    <t xml:space="preserve">   762</t>
  </si>
  <si>
    <t>MAIDANA MARCOS</t>
  </si>
  <si>
    <t xml:space="preserve">   770</t>
  </si>
  <si>
    <t>URIARTE PABLO RAUL</t>
  </si>
  <si>
    <t xml:space="preserve">   793</t>
  </si>
  <si>
    <t>TESTOLIN LUIS EDUARDO</t>
  </si>
  <si>
    <t xml:space="preserve">   847</t>
  </si>
  <si>
    <t>CISA MARCELO JAVIER</t>
  </si>
  <si>
    <t xml:space="preserve">   851</t>
  </si>
  <si>
    <t>SEGOVIA ALEJANDRO</t>
  </si>
  <si>
    <t xml:space="preserve">   852</t>
  </si>
  <si>
    <t>BOTTARO HORACIO FABIAN</t>
  </si>
  <si>
    <t xml:space="preserve">   870</t>
  </si>
  <si>
    <t>FERRI GUSTAVO JAVIER</t>
  </si>
  <si>
    <t xml:space="preserve">   922</t>
  </si>
  <si>
    <t>RUIZ CRISTIAN MAXIMILIANO</t>
  </si>
  <si>
    <t xml:space="preserve">   964</t>
  </si>
  <si>
    <t>GALVAN LUIS ALBERTO</t>
  </si>
  <si>
    <t xml:space="preserve">   985</t>
  </si>
  <si>
    <t>GARZON LUCAS RAMON</t>
  </si>
  <si>
    <t xml:space="preserve">  1003</t>
  </si>
  <si>
    <t>SACRISTAN JORGE OSCAR</t>
  </si>
  <si>
    <t xml:space="preserve">  1015</t>
  </si>
  <si>
    <t>ROUXEL SIXTO JOSE ESTEBAN</t>
  </si>
  <si>
    <t xml:space="preserve">  1102</t>
  </si>
  <si>
    <t>MISTERPONT WALTER DANIEL</t>
  </si>
  <si>
    <t xml:space="preserve">  1155</t>
  </si>
  <si>
    <t>LEWENEC PABLO RUBEN</t>
  </si>
  <si>
    <t xml:space="preserve">  1156</t>
  </si>
  <si>
    <t>ACOSTA SERGIO PEDRO</t>
  </si>
  <si>
    <t xml:space="preserve">  1158</t>
  </si>
  <si>
    <t>POHL ULISES HECTOR</t>
  </si>
  <si>
    <t xml:space="preserve">  1163</t>
  </si>
  <si>
    <t>FERNANDEZ SIMON HECTOR</t>
  </si>
  <si>
    <t xml:space="preserve">  1177</t>
  </si>
  <si>
    <t>PUENTES JOSE FABIAN</t>
  </si>
  <si>
    <t xml:space="preserve">  1178</t>
  </si>
  <si>
    <t>FEIJOO SERGIO ARIEL</t>
  </si>
  <si>
    <t xml:space="preserve">  1188</t>
  </si>
  <si>
    <t>SALOMON RAUL HERNAN</t>
  </si>
  <si>
    <t xml:space="preserve">  1189</t>
  </si>
  <si>
    <t>GOMEZ GASTON ALFREDO</t>
  </si>
  <si>
    <t xml:space="preserve">  1208</t>
  </si>
  <si>
    <t>VELIZ HUSTECKI GABRIEL ELISEO</t>
  </si>
  <si>
    <t xml:space="preserve">  1211</t>
  </si>
  <si>
    <t>PALACIO JAVIER EMILIO</t>
  </si>
  <si>
    <t xml:space="preserve">  1231</t>
  </si>
  <si>
    <t>GONZALEZ SEIJAS MARTIN WENCESLAO</t>
  </si>
  <si>
    <t xml:space="preserve">  1232</t>
  </si>
  <si>
    <t>DIOCARET FACUNDO</t>
  </si>
  <si>
    <t xml:space="preserve">  1235</t>
  </si>
  <si>
    <t>CELARAYAN HUGO ALBERTO</t>
  </si>
  <si>
    <t xml:space="preserve">  1244</t>
  </si>
  <si>
    <t>GOMEZ MAXIMILIANO OMAR</t>
  </si>
  <si>
    <t xml:space="preserve">  1255</t>
  </si>
  <si>
    <t>COVAIA CARLOS DOMINGO</t>
  </si>
  <si>
    <t xml:space="preserve">  1261</t>
  </si>
  <si>
    <t>VALENZUELA LEONARDO MIGUEL</t>
  </si>
  <si>
    <t xml:space="preserve">  1270</t>
  </si>
  <si>
    <t>LOPEZ RUBEN ANIBAL</t>
  </si>
  <si>
    <t xml:space="preserve">  1327</t>
  </si>
  <si>
    <t>JAIME MATIAS DANIEL</t>
  </si>
  <si>
    <t xml:space="preserve">  1342</t>
  </si>
  <si>
    <t>ALCARAS GUSTAVO JAVIER</t>
  </si>
  <si>
    <t xml:space="preserve">  1343</t>
  </si>
  <si>
    <t>SANDOVAL EMANUEL FABIAN</t>
  </si>
  <si>
    <t xml:space="preserve">  1349</t>
  </si>
  <si>
    <t>BERTOLDI JUAN JOSE</t>
  </si>
  <si>
    <t xml:space="preserve">  1357</t>
  </si>
  <si>
    <t>GALEANO RAMIREZ ARNALDO MARTIN</t>
  </si>
  <si>
    <t xml:space="preserve">  1388</t>
  </si>
  <si>
    <t>RODRIGUEZ JORGE ENRIQUE</t>
  </si>
  <si>
    <t xml:space="preserve">  1390</t>
  </si>
  <si>
    <t>ANTONELLI DAMIAN LUIS</t>
  </si>
  <si>
    <t xml:space="preserve">  1402</t>
  </si>
  <si>
    <t>BENNICI FRANCISCO MARCELO</t>
  </si>
  <si>
    <t xml:space="preserve">  1403</t>
  </si>
  <si>
    <t>ARIAS NESTOR FAUSTINO</t>
  </si>
  <si>
    <t xml:space="preserve">  1404</t>
  </si>
  <si>
    <t>MORALES DANIEL LUIS</t>
  </si>
  <si>
    <t xml:space="preserve">  1405</t>
  </si>
  <si>
    <t>ANCHORENA MIGUEL ANGEL</t>
  </si>
  <si>
    <t xml:space="preserve">  1406</t>
  </si>
  <si>
    <t>DIBENEDETTO ARIEL ALEJANDRO</t>
  </si>
  <si>
    <t xml:space="preserve">  1407</t>
  </si>
  <si>
    <t>PATZI JOSE RAUL</t>
  </si>
  <si>
    <t xml:space="preserve">  1409</t>
  </si>
  <si>
    <t>ANGELERI FABRICIO MIGUEL</t>
  </si>
  <si>
    <t xml:space="preserve">  1432</t>
  </si>
  <si>
    <t>LUENGO DIEGO FABIAN</t>
  </si>
  <si>
    <t xml:space="preserve">  1445</t>
  </si>
  <si>
    <t>ARTIGUE VICTOR ARMANDO</t>
  </si>
  <si>
    <t xml:space="preserve">  1462</t>
  </si>
  <si>
    <t>BLANCO ALBERTO FRANCISCO</t>
  </si>
  <si>
    <t xml:space="preserve">  1470</t>
  </si>
  <si>
    <t>PRETZEL RAMON DANIEL</t>
  </si>
  <si>
    <t xml:space="preserve">  1473</t>
  </si>
  <si>
    <t>CUELLO JUAN MANUEL</t>
  </si>
  <si>
    <t xml:space="preserve">  1475</t>
  </si>
  <si>
    <t>PEREA DIEGO HERNAN</t>
  </si>
  <si>
    <t xml:space="preserve">  1482</t>
  </si>
  <si>
    <t>SERVETT JOSE DOMINGO</t>
  </si>
  <si>
    <t xml:space="preserve">  1483</t>
  </si>
  <si>
    <t>FERRARO FERNANDO HORACIO</t>
  </si>
  <si>
    <t xml:space="preserve">  1537</t>
  </si>
  <si>
    <t>BETANCOR, GERARDO</t>
  </si>
  <si>
    <t xml:space="preserve">  1538</t>
  </si>
  <si>
    <t>CAMARGO ANTONIO ARGENTINO</t>
  </si>
  <si>
    <t xml:space="preserve">  1547</t>
  </si>
  <si>
    <t>BURGOS JORGE NESTOR</t>
  </si>
  <si>
    <t xml:space="preserve">  1551</t>
  </si>
  <si>
    <t>MACHADO WALTER MIGUEL</t>
  </si>
  <si>
    <t xml:space="preserve">  1552</t>
  </si>
  <si>
    <t>MENDOZA MARIANO JAVIER</t>
  </si>
  <si>
    <t xml:space="preserve">  1556</t>
  </si>
  <si>
    <t>ORTIZ EDUARDO DANIEL</t>
  </si>
  <si>
    <t xml:space="preserve">  1664</t>
  </si>
  <si>
    <t>GALEANO RAMIREZ, LUIS ROBERTO</t>
  </si>
  <si>
    <t xml:space="preserve">  1665</t>
  </si>
  <si>
    <t>FERRERIA, PABLO EZEQUIEL</t>
  </si>
  <si>
    <t xml:space="preserve">  1666</t>
  </si>
  <si>
    <t>LORENZINI, GONZALO</t>
  </si>
  <si>
    <t xml:space="preserve">  1707</t>
  </si>
  <si>
    <t>OLAS, CLAUDIO ANTONIO</t>
  </si>
  <si>
    <t xml:space="preserve">  1746</t>
  </si>
  <si>
    <t>ALCALA, VICENTE ANTONIO</t>
  </si>
  <si>
    <t xml:space="preserve">  1787</t>
  </si>
  <si>
    <t>PEREIRA LUIZ, ROBERTO DANIEL</t>
  </si>
  <si>
    <t xml:space="preserve">  1808</t>
  </si>
  <si>
    <t>YORKE, ISAIAS JAVIER</t>
  </si>
  <si>
    <t xml:space="preserve">  1816</t>
  </si>
  <si>
    <t>SANTILLI, FABIAN AUGUSTO</t>
  </si>
  <si>
    <t xml:space="preserve">  1822</t>
  </si>
  <si>
    <t>CARMARAN, LUCAS GUILLERMO</t>
  </si>
  <si>
    <t xml:space="preserve">  1824</t>
  </si>
  <si>
    <t>NUÑEZ, RODRIGO JOSE IGNACIO</t>
  </si>
  <si>
    <t xml:space="preserve">  1825</t>
  </si>
  <si>
    <t>GALEANO, ALBERTO OSVALDO</t>
  </si>
  <si>
    <t xml:space="preserve">  1829</t>
  </si>
  <si>
    <t>ARIAS, JOSE LUIS</t>
  </si>
  <si>
    <t xml:space="preserve">  1912</t>
  </si>
  <si>
    <t>QUIROGA, ANTONIO DAVID</t>
  </si>
  <si>
    <t xml:space="preserve">  1948</t>
  </si>
  <si>
    <t>BLANCO, GREGORIO ALBERTO</t>
  </si>
  <si>
    <t xml:space="preserve">  1949</t>
  </si>
  <si>
    <t>SENESE, ALFREDO JESUS HUMBERTO</t>
  </si>
  <si>
    <t xml:space="preserve">  1956</t>
  </si>
  <si>
    <t>KALAYDJIAN, MANUEL BALTASAR</t>
  </si>
  <si>
    <t xml:space="preserve">  1957</t>
  </si>
  <si>
    <t>QUINTEROS, ELIAS EZEQUIEL</t>
  </si>
  <si>
    <t xml:space="preserve">  1992</t>
  </si>
  <si>
    <t>CAMA, EMILIANO SEBASTIAN</t>
  </si>
  <si>
    <t xml:space="preserve">  1993</t>
  </si>
  <si>
    <t>GOMEZ, CARLOS CESAR</t>
  </si>
  <si>
    <t xml:space="preserve">  1994</t>
  </si>
  <si>
    <t>PAPPALARDO, GERMAN MIGUEL</t>
  </si>
  <si>
    <t xml:space="preserve">  1995</t>
  </si>
  <si>
    <t>VICENTI, GUSTAVO OMAR</t>
  </si>
  <si>
    <t xml:space="preserve">  1996</t>
  </si>
  <si>
    <t>LUNA, DANIEL ALEJANDRO</t>
  </si>
  <si>
    <t xml:space="preserve">  1997</t>
  </si>
  <si>
    <t>LOFEUDO, MARCOS EMANUEL</t>
  </si>
  <si>
    <t xml:space="preserve">  1998</t>
  </si>
  <si>
    <t>CARO, SERGIO DANIEL</t>
  </si>
  <si>
    <t xml:space="preserve">  1999</t>
  </si>
  <si>
    <t>MARTINEZ, RODRIGO</t>
  </si>
  <si>
    <t xml:space="preserve">  2001</t>
  </si>
  <si>
    <t>GRILLI, MAXIMILIANO</t>
  </si>
  <si>
    <t xml:space="preserve">  2002</t>
  </si>
  <si>
    <t>CORONEL, DARIO ALFREDO</t>
  </si>
  <si>
    <t xml:space="preserve">  2004</t>
  </si>
  <si>
    <t>NAGEL, LUCAS DEMIAN</t>
  </si>
  <si>
    <t xml:space="preserve">  2005</t>
  </si>
  <si>
    <t>LOPEZ, DIEGO HERNAN</t>
  </si>
  <si>
    <t xml:space="preserve">  2006</t>
  </si>
  <si>
    <t>ESCUDERO MURUA, MATHIAS SEBASTIAN</t>
  </si>
  <si>
    <t xml:space="preserve">  2007</t>
  </si>
  <si>
    <t>MONSALVO, FERNANDO CRISTIAN</t>
  </si>
  <si>
    <t xml:space="preserve">  2008</t>
  </si>
  <si>
    <t>LEONES, SEBASTIAN EZEQUIEL</t>
  </si>
  <si>
    <t xml:space="preserve">  2011</t>
  </si>
  <si>
    <t>MAZZERA, NORBERTO OMAR</t>
  </si>
  <si>
    <t xml:space="preserve">  2012</t>
  </si>
  <si>
    <t>SANCHEZ, ATILIO DARIO</t>
  </si>
  <si>
    <t xml:space="preserve">  2013</t>
  </si>
  <si>
    <t>PAULLIER GARAZA, CARLOS SAÚL</t>
  </si>
  <si>
    <t xml:space="preserve">  2014</t>
  </si>
  <si>
    <t>NAVARRO, EDUARDO DAMIAN</t>
  </si>
  <si>
    <t xml:space="preserve">  2023</t>
  </si>
  <si>
    <t>ARANCIBIA, CESAR RAUL</t>
  </si>
  <si>
    <t xml:space="preserve">  2024</t>
  </si>
  <si>
    <t>FERREIRA, DAMIAN SANTIAGO</t>
  </si>
  <si>
    <t xml:space="preserve">  2026</t>
  </si>
  <si>
    <t>MAUTONE, JUAN EDUARDO</t>
  </si>
  <si>
    <t xml:space="preserve">  2027</t>
  </si>
  <si>
    <t>TABERNABERRI, FERNANDO ADRIAN</t>
  </si>
  <si>
    <t xml:space="preserve">  2028</t>
  </si>
  <si>
    <t>MONTENEGRO, RODRIGO ATILIO</t>
  </si>
  <si>
    <t xml:space="preserve">  2066</t>
  </si>
  <si>
    <t>AVILA EDUARDO</t>
  </si>
  <si>
    <t xml:space="preserve">  2067</t>
  </si>
  <si>
    <t>MAZO JORGE ALBERTO</t>
  </si>
  <si>
    <t xml:space="preserve">  2105</t>
  </si>
  <si>
    <t>ALFARO LUIS EDUARDO</t>
  </si>
  <si>
    <t xml:space="preserve">  2106</t>
  </si>
  <si>
    <t>SCORNAIENCHI PABLO ARIEL</t>
  </si>
  <si>
    <t xml:space="preserve">  2107</t>
  </si>
  <si>
    <t>RIBOTTA ZANATTA LEANDRO EMMANUEL</t>
  </si>
  <si>
    <t xml:space="preserve">  2113</t>
  </si>
  <si>
    <t>FARRIOL FEDERICO JESUS</t>
  </si>
  <si>
    <t xml:space="preserve">  2115</t>
  </si>
  <si>
    <t>MANCUELLO CLAUDIO ALBERTO</t>
  </si>
  <si>
    <t xml:space="preserve">  2127</t>
  </si>
  <si>
    <t>PEREZ SEBASTIAN ARIEL</t>
  </si>
  <si>
    <t xml:space="preserve">  2128</t>
  </si>
  <si>
    <t>RODRIGUEZ MARCOS GONZALO</t>
  </si>
  <si>
    <t xml:space="preserve">  2129</t>
  </si>
  <si>
    <t>SIAKALUK SERGIO CARLOS</t>
  </si>
  <si>
    <t xml:space="preserve">  2130</t>
  </si>
  <si>
    <t>RODRIGUEZ CRISTIAN GUILLERMO</t>
  </si>
  <si>
    <t xml:space="preserve">  2132</t>
  </si>
  <si>
    <t>ESPEJO JUAN CARLOS</t>
  </si>
  <si>
    <t xml:space="preserve">  2139</t>
  </si>
  <si>
    <t>DALESSANDRO MARTIN MIGUEL</t>
  </si>
  <si>
    <t xml:space="preserve">  2140</t>
  </si>
  <si>
    <t>ARGAÑARAZ NESTOR JAVIER</t>
  </si>
  <si>
    <t xml:space="preserve">  2141</t>
  </si>
  <si>
    <t>COSTILLA JUAN JOSE</t>
  </si>
  <si>
    <t>GB02</t>
  </si>
  <si>
    <t xml:space="preserve">  1009</t>
  </si>
  <si>
    <t>DEL SONNO GERMAN ANGEL DOMINGO</t>
  </si>
  <si>
    <t xml:space="preserve">  1025</t>
  </si>
  <si>
    <t>PONCE JUAN MARCELO</t>
  </si>
  <si>
    <t xml:space="preserve">  1059</t>
  </si>
  <si>
    <t>TORRES JORGE OMAR</t>
  </si>
  <si>
    <t>GB03</t>
  </si>
  <si>
    <t xml:space="preserve">    43</t>
  </si>
  <si>
    <t>MONTENEGRO JAVIER MARTIN</t>
  </si>
  <si>
    <t xml:space="preserve">   288</t>
  </si>
  <si>
    <t>CACEREZ ALBERTO MARTIN</t>
  </si>
  <si>
    <t>Id Chofer Mañana</t>
  </si>
  <si>
    <t>Empresa Tm</t>
  </si>
  <si>
    <t>Id Chofer Tarde</t>
  </si>
  <si>
    <t>Empresa Tarde</t>
  </si>
  <si>
    <t>UNIDAD 01</t>
  </si>
  <si>
    <t>UNIDAD 02</t>
  </si>
  <si>
    <t>UNIDAD 05</t>
  </si>
  <si>
    <t>UNIDAD 06</t>
  </si>
  <si>
    <t>UNIDAD 07</t>
  </si>
  <si>
    <t>UNIDAD 08</t>
  </si>
  <si>
    <t>UNIDAD 12</t>
  </si>
  <si>
    <t>UNIDAD 19</t>
  </si>
  <si>
    <t>UNIDAD 21</t>
  </si>
  <si>
    <t>UNIDAD 22</t>
  </si>
  <si>
    <t>UNIDAD 24</t>
  </si>
  <si>
    <t>UNIDAD 25</t>
  </si>
  <si>
    <t>UNIDAD 29</t>
  </si>
  <si>
    <t>UNIDAD 30</t>
  </si>
  <si>
    <t>UNIDAD 36</t>
  </si>
  <si>
    <t>UNIDAD 37</t>
  </si>
  <si>
    <t>UNIDAD 38</t>
  </si>
  <si>
    <t>UNIDAD 40</t>
  </si>
  <si>
    <t>UNIDAD 41</t>
  </si>
  <si>
    <t>UNIDAD 42</t>
  </si>
  <si>
    <t>UNIDAD 45</t>
  </si>
  <si>
    <t>UNIDAD 46</t>
  </si>
  <si>
    <t>UNIDAD 47</t>
  </si>
  <si>
    <t>UNIDAD 48</t>
  </si>
  <si>
    <t>UNIDAD 49</t>
  </si>
  <si>
    <t>UNIDAD 50</t>
  </si>
  <si>
    <t>UNIDAD 51</t>
  </si>
  <si>
    <t>UNIDAD 52</t>
  </si>
  <si>
    <t>UNIDAD 53</t>
  </si>
  <si>
    <t>UNIDAD 54</t>
  </si>
  <si>
    <t>UNIDAD 56</t>
  </si>
  <si>
    <t>UNIDAD 57</t>
  </si>
  <si>
    <t>UNIDAD 58</t>
  </si>
  <si>
    <t>UNIDAD 59</t>
  </si>
  <si>
    <t>UNIDAD 60</t>
  </si>
  <si>
    <t>UNIDAD 61</t>
  </si>
  <si>
    <t>UNIDAD 70</t>
  </si>
  <si>
    <t>UNIDAD 72</t>
  </si>
  <si>
    <t>UNIDAD 75</t>
  </si>
  <si>
    <t>UNIDAD 101</t>
  </si>
  <si>
    <t>UNIDAD 102</t>
  </si>
  <si>
    <t>UNIDAD 107</t>
  </si>
  <si>
    <t>UNIDAD 110</t>
  </si>
  <si>
    <t>UNIDAD 111</t>
  </si>
  <si>
    <t>UNIDAD 112</t>
  </si>
  <si>
    <t>UNIDAD 115</t>
  </si>
  <si>
    <t>UNIDAD 116</t>
  </si>
  <si>
    <t>UNIDAD 119</t>
  </si>
  <si>
    <t>UNIDAD 122</t>
  </si>
  <si>
    <t>UNIDAD 125</t>
  </si>
  <si>
    <t>UNIDAD 127</t>
  </si>
  <si>
    <t>UNIDAD 128</t>
  </si>
  <si>
    <t>Empresa</t>
  </si>
  <si>
    <t>SI(Y(HORA(O2)&gt;=1;HORA(O2)&lt;=13);BUSCARV(B2;Programacion!$A$8:$S$1048576;16;FALSO);BUSCARV(B2;Programacion!$A$8:$S$1048576;18;FALSO))</t>
  </si>
  <si>
    <t>SI(Y(HORA(O2)&gt;=1;HORA(O2)&lt;=13);BUSCARV(B2;Programacion!$A$8:$S$1048576;17;FALSO);BUSCARV(B2;Programacion!$A$8:$S$1048576;19;FALSO))</t>
  </si>
  <si>
    <t>VEHÍCULO</t>
  </si>
  <si>
    <t>NOMBRE DE FANTASIA</t>
  </si>
  <si>
    <t>PATENTE SEMI 1</t>
  </si>
  <si>
    <t>PATENTE SEMI 2</t>
  </si>
  <si>
    <t>TRANSPORTISTA</t>
  </si>
  <si>
    <t>CÓDIGO DE VIAJE</t>
  </si>
  <si>
    <t>ORIGEN</t>
  </si>
  <si>
    <t>ESTADO</t>
  </si>
  <si>
    <t>N° DE DESPACHO</t>
  </si>
  <si>
    <t>N° DE ENVÍO</t>
  </si>
  <si>
    <t>N° DE RECIBO</t>
  </si>
  <si>
    <t>LLEGADA</t>
  </si>
  <si>
    <t>TIEMPO DE CONTACTO PREVISTO</t>
  </si>
  <si>
    <t>TIEMPO DE CARGA PREVISTO</t>
  </si>
  <si>
    <t>SALIDA PREVISTA</t>
  </si>
  <si>
    <t>VIAJE AL CLIENTE</t>
  </si>
  <si>
    <t>CARGA TOTAL</t>
  </si>
  <si>
    <t>CAPACIDAD</t>
  </si>
  <si>
    <t>CISTERNADO</t>
  </si>
  <si>
    <t>DESTINO</t>
  </si>
  <si>
    <t>LLEGADA(ETA)</t>
  </si>
  <si>
    <t>PEDIDO</t>
  </si>
  <si>
    <t>CONTACTO</t>
  </si>
  <si>
    <t>LABORATORIO</t>
  </si>
  <si>
    <t>CARGA</t>
  </si>
  <si>
    <t>DESCARGA</t>
  </si>
  <si>
    <t>SALIDA</t>
  </si>
  <si>
    <t>PRODUCTO</t>
  </si>
  <si>
    <t>CANTIDAD</t>
  </si>
  <si>
    <t>CISTERNADO SUGERIDO</t>
  </si>
  <si>
    <t>LVK459</t>
  </si>
  <si>
    <t>MBQ557</t>
  </si>
  <si>
    <t/>
  </si>
  <si>
    <t>20009 - TRANSPORTES JOSE BERALDI S.A.</t>
  </si>
  <si>
    <t>491177</t>
  </si>
  <si>
    <t>0002 - TERMINAL LA MATANZA</t>
  </si>
  <si>
    <t>Publicado</t>
  </si>
  <si>
    <t>788852</t>
  </si>
  <si>
    <t>11/1/2022 02:00:00</t>
  </si>
  <si>
    <t>10 min</t>
  </si>
  <si>
    <t>30 min</t>
  </si>
  <si>
    <t>11/1/2022 02:40:00</t>
  </si>
  <si>
    <t>40</t>
  </si>
  <si>
    <t>25 m3</t>
  </si>
  <si>
    <t>5 5 5 5 5</t>
  </si>
  <si>
    <t>15760308-001 - 00000 - TRANS AUTOM PASAJER SIGLO XXI SA ( 4 )</t>
  </si>
  <si>
    <t>11/1/2022 03:20:00 min</t>
  </si>
  <si>
    <t>0076208644</t>
  </si>
  <si>
    <t>40 min</t>
  </si>
  <si>
    <t>0 min</t>
  </si>
  <si>
    <t>11/1/2022 04:00:00</t>
  </si>
  <si>
    <t>401200 - D.Diesel 500</t>
  </si>
  <si>
    <t>C3;C5;C1;C2;C4</t>
  </si>
  <si>
    <t>490773</t>
  </si>
  <si>
    <t>788853</t>
  </si>
  <si>
    <t>11/1/2022 05:50:00</t>
  </si>
  <si>
    <t>11/1/2022 07:00:00</t>
  </si>
  <si>
    <t>90</t>
  </si>
  <si>
    <t>03761398-006 - 00000 - EXPRESO PARQUE EL LUCERO SOCIE ( 9 )</t>
  </si>
  <si>
    <t>11/1/2022 08:30:00 min</t>
  </si>
  <si>
    <t>0076208660</t>
  </si>
  <si>
    <t>20 min</t>
  </si>
  <si>
    <t>11/1/2022 09:10:00</t>
  </si>
  <si>
    <t>405200 - INFINIA DIESEL</t>
  </si>
  <si>
    <t>10 m3</t>
  </si>
  <si>
    <t>C5;C2</t>
  </si>
  <si>
    <t>06760344-000 - 16123 - FUENTEDE SRL ( 9 )</t>
  </si>
  <si>
    <t>11/1/2022 09:30:00 min</t>
  </si>
  <si>
    <t>0076208984</t>
  </si>
  <si>
    <t>90 min</t>
  </si>
  <si>
    <t>11/1/2022 10:10:00</t>
  </si>
  <si>
    <t>409700 - NAFTA SUPER XXI</t>
  </si>
  <si>
    <t>C3;C1</t>
  </si>
  <si>
    <t>409900 - INFINIA</t>
  </si>
  <si>
    <t>5 m3</t>
  </si>
  <si>
    <t>C4</t>
  </si>
  <si>
    <t>490831</t>
  </si>
  <si>
    <t>788854</t>
  </si>
  <si>
    <t>11/1/2022 14:00:00</t>
  </si>
  <si>
    <t>11/1/2022 14:50:00</t>
  </si>
  <si>
    <t>20</t>
  </si>
  <si>
    <t>20760569-000 - 03125 - RIVAGAS S.A. (SAN JUSTO) ( 2 )</t>
  </si>
  <si>
    <t>11/1/2022 15:10:00 min</t>
  </si>
  <si>
    <t>0076210544</t>
  </si>
  <si>
    <t>11/1/2022 15:50:00</t>
  </si>
  <si>
    <t>490833</t>
  </si>
  <si>
    <t>788855</t>
  </si>
  <si>
    <t>11/1/2022 16:30:00</t>
  </si>
  <si>
    <t>11/1/2022 17:20:00</t>
  </si>
  <si>
    <t>03761353-000 - 31146 - CUBA SA ( 9 )</t>
  </si>
  <si>
    <t>11/1/2022 19:10:00 min</t>
  </si>
  <si>
    <t>0076210513</t>
  </si>
  <si>
    <t>11/1/2022 19:50:00</t>
  </si>
  <si>
    <t>C2</t>
  </si>
  <si>
    <t>11/1/2022 20:10:00 min</t>
  </si>
  <si>
    <t>0076210523</t>
  </si>
  <si>
    <t>11/1/2022 20:50:00</t>
  </si>
  <si>
    <t>C5;C4</t>
  </si>
  <si>
    <t>LVK470</t>
  </si>
  <si>
    <t>MBQ555</t>
  </si>
  <si>
    <t>491828</t>
  </si>
  <si>
    <t>788856</t>
  </si>
  <si>
    <t>11/1/2022 02:50:00</t>
  </si>
  <si>
    <t>97760087-000 - 02536 - (RE)OPESSA RICCHIERI EZEIZA ( 2 )</t>
  </si>
  <si>
    <t>11/1/2022 03:10:00 min</t>
  </si>
  <si>
    <t>0076210848</t>
  </si>
  <si>
    <t>11/1/2022 03:50:00</t>
  </si>
  <si>
    <t>22760648-000 - 03112 - (RE)TECOMB SA ( 2 )</t>
  </si>
  <si>
    <t>11/1/2022 04:00:00 min</t>
  </si>
  <si>
    <t>0076210849</t>
  </si>
  <si>
    <t>11/1/2022 04:40:00</t>
  </si>
  <si>
    <t>C3;C2</t>
  </si>
  <si>
    <t>C1;C5</t>
  </si>
  <si>
    <t>490774</t>
  </si>
  <si>
    <t>788857</t>
  </si>
  <si>
    <t>11/1/2022 06:20:00</t>
  </si>
  <si>
    <t>11/1/2022 07:10:00</t>
  </si>
  <si>
    <t>80</t>
  </si>
  <si>
    <t>01761862-000 - 00574 - ALONSO HNOS. ( 3 )</t>
  </si>
  <si>
    <t>0076208752</t>
  </si>
  <si>
    <t>80 min</t>
  </si>
  <si>
    <t>C2;C1</t>
  </si>
  <si>
    <t>C3</t>
  </si>
  <si>
    <t>11/1/2022 10:50:00 min</t>
  </si>
  <si>
    <t>0076208759</t>
  </si>
  <si>
    <t>11/1/2022 11:30:00</t>
  </si>
  <si>
    <t>C5</t>
  </si>
  <si>
    <t>490927</t>
  </si>
  <si>
    <t>788858</t>
  </si>
  <si>
    <t>39760093-000 - 00000 - TRANSPORTE NUEVA CHICAGO CISA ( 2 )</t>
  </si>
  <si>
    <t>0076210353</t>
  </si>
  <si>
    <t>15 m3</t>
  </si>
  <si>
    <t>C2;C5;C4</t>
  </si>
  <si>
    <t>01760416-000 - 00592 - ALONSO HNOS. ( 3 )</t>
  </si>
  <si>
    <t>11/1/2022 17:20:00 min</t>
  </si>
  <si>
    <t>0076210494</t>
  </si>
  <si>
    <t>11/1/2022 18:00:00</t>
  </si>
  <si>
    <t>0076210502</t>
  </si>
  <si>
    <t>C1</t>
  </si>
  <si>
    <t>490976</t>
  </si>
  <si>
    <t>788859</t>
  </si>
  <si>
    <t>11/1/2022 20:00:00</t>
  </si>
  <si>
    <t>97760171-000 - 02985 - (RE)OPESSA DEBENEDETTI ASCENDENTE ( 5 )</t>
  </si>
  <si>
    <t>11/1/2022 22:20:00 min</t>
  </si>
  <si>
    <t>0076210808</t>
  </si>
  <si>
    <t>11/1/2022 23:10:00</t>
  </si>
  <si>
    <t>C2;C4</t>
  </si>
  <si>
    <t>JRO857</t>
  </si>
  <si>
    <t>490775</t>
  </si>
  <si>
    <t>788812</t>
  </si>
  <si>
    <t>11/1/2022 14:40:00</t>
  </si>
  <si>
    <t>150</t>
  </si>
  <si>
    <t>37 m3</t>
  </si>
  <si>
    <t>7 7 6 5 5 7</t>
  </si>
  <si>
    <t>22760702-001 - 00000 - TRANSCHEMICAL S A ( 9 )</t>
  </si>
  <si>
    <t>11/1/2022 17:10:00 min</t>
  </si>
  <si>
    <t>0076200946</t>
  </si>
  <si>
    <t>150 min</t>
  </si>
  <si>
    <t>11/1/2022 17:50:00</t>
  </si>
  <si>
    <t>C3;C6;C2;C1;C5;C4</t>
  </si>
  <si>
    <t>491878</t>
  </si>
  <si>
    <t>788813</t>
  </si>
  <si>
    <t>11/1/2022 20:40:00</t>
  </si>
  <si>
    <t>11/1/2022 21:30:00</t>
  </si>
  <si>
    <t>03761358-000 - 31088 - (RE)COMBUSTIBLES CANNING S.A. ( 3 )</t>
  </si>
  <si>
    <t>11/1/2022 22:10:00 min</t>
  </si>
  <si>
    <t>0076210919</t>
  </si>
  <si>
    <t>12 m3</t>
  </si>
  <si>
    <t>11 m3</t>
  </si>
  <si>
    <t>C4;C3</t>
  </si>
  <si>
    <t>7 m3</t>
  </si>
  <si>
    <t>C6</t>
  </si>
  <si>
    <t>KNT113</t>
  </si>
  <si>
    <t>KHO071</t>
  </si>
  <si>
    <t>490776</t>
  </si>
  <si>
    <t>788836</t>
  </si>
  <si>
    <t>11/1/2022 03:00:00</t>
  </si>
  <si>
    <t>11/1/2022 03:40:00</t>
  </si>
  <si>
    <t>60</t>
  </si>
  <si>
    <t>36 m3</t>
  </si>
  <si>
    <t>7 7 5 5 5 7</t>
  </si>
  <si>
    <t>12760793-004 - 00000 - LOS CONSTITUYENTES SOCIEDAD AN ( 5 )</t>
  </si>
  <si>
    <t>11/1/2022 04:40:00 min</t>
  </si>
  <si>
    <t>0076207803</t>
  </si>
  <si>
    <t>70 min</t>
  </si>
  <si>
    <t>11/1/2022 05:20:00</t>
  </si>
  <si>
    <t>C3;C6;C1;C4;C2;C5</t>
  </si>
  <si>
    <t>490777</t>
  </si>
  <si>
    <t>788837</t>
  </si>
  <si>
    <t>11/1/2022 06:40:00</t>
  </si>
  <si>
    <t>11/1/2022 07:40:00</t>
  </si>
  <si>
    <t>100</t>
  </si>
  <si>
    <t>22760733-000 - 00000 - NB CARGO S.R.L. ( 7 )</t>
  </si>
  <si>
    <t>11/1/2022 09:20:00 min</t>
  </si>
  <si>
    <t>0076204568</t>
  </si>
  <si>
    <t>11/1/2022 11:00:00</t>
  </si>
  <si>
    <t>KSJ184</t>
  </si>
  <si>
    <t>IOI088</t>
  </si>
  <si>
    <t>490778</t>
  </si>
  <si>
    <t>788844</t>
  </si>
  <si>
    <t>8 6 5 5 5 7</t>
  </si>
  <si>
    <t>03761394-001 - 00000 - CIA NOROESTE S A DE TRANSPORTE ( 6 )</t>
  </si>
  <si>
    <t>0076208062</t>
  </si>
  <si>
    <t>C1;C2;C4;C3;C5;C6</t>
  </si>
  <si>
    <t>490779</t>
  </si>
  <si>
    <t>788845</t>
  </si>
  <si>
    <t>01762152-001 - 00000 - TRANSPORTES 1 DE SEPTIEMBRE S.A. ( 5 )</t>
  </si>
  <si>
    <t>11/1/2022 09:10:00 min</t>
  </si>
  <si>
    <t>0076207062</t>
  </si>
  <si>
    <t>11/1/2022 09:50:00</t>
  </si>
  <si>
    <t>490854</t>
  </si>
  <si>
    <t>788846</t>
  </si>
  <si>
    <t>11/1/2022 15:00:00</t>
  </si>
  <si>
    <t>50</t>
  </si>
  <si>
    <t>29766746-000 - 00083 - (RE)ACA CENTRAL ( 1 )</t>
  </si>
  <si>
    <t>11/1/2022 16:40:00 min</t>
  </si>
  <si>
    <t>0076210804</t>
  </si>
  <si>
    <t>8 m3</t>
  </si>
  <si>
    <t>29766770-000 - 00085 - (RE)ACA PALERMO ( 1 )</t>
  </si>
  <si>
    <t>11/1/2022 17:30:00 min</t>
  </si>
  <si>
    <t>0076210806</t>
  </si>
  <si>
    <t>11/1/2022 18:10:00</t>
  </si>
  <si>
    <t>C4;C2</t>
  </si>
  <si>
    <t>C3;C5</t>
  </si>
  <si>
    <t>491870</t>
  </si>
  <si>
    <t>788847</t>
  </si>
  <si>
    <t>11/1/2022 19:40:00</t>
  </si>
  <si>
    <t>11/1/2022 20:30:00</t>
  </si>
  <si>
    <t>09760222-000 - 30473 - (RE)INVERSORA MINORISTA S A ( 2 )</t>
  </si>
  <si>
    <t>11/1/2022 20:50:00 min</t>
  </si>
  <si>
    <t>0076210910</t>
  </si>
  <si>
    <t>C4;C5</t>
  </si>
  <si>
    <t>13 m3</t>
  </si>
  <si>
    <t>C2;C6</t>
  </si>
  <si>
    <t>KSJ188</t>
  </si>
  <si>
    <t>IVA841</t>
  </si>
  <si>
    <t>490780</t>
  </si>
  <si>
    <t>788848</t>
  </si>
  <si>
    <t>38760051-000 - 00000 - TRANS.QUIRNO COSTA SACI ( 2 )</t>
  </si>
  <si>
    <t>0076208065</t>
  </si>
  <si>
    <t>C1;C6</t>
  </si>
  <si>
    <t>22760755-003 - 00000 - TRANSPORTES LOPE DE VEGA S A C ( 2 )</t>
  </si>
  <si>
    <t>11/1/2022 04:50:00 min</t>
  </si>
  <si>
    <t>0076208725</t>
  </si>
  <si>
    <t>11/1/2022 05:30:00</t>
  </si>
  <si>
    <t>21 m3</t>
  </si>
  <si>
    <t>C5;C3;C2;C4</t>
  </si>
  <si>
    <t>490781</t>
  </si>
  <si>
    <t>788849</t>
  </si>
  <si>
    <t>11/1/2022 07:20:00</t>
  </si>
  <si>
    <t>11/1/2022 08:10:00</t>
  </si>
  <si>
    <t>01760010-002 - 00000 - ANDREANI LOGISTICA SA ( 6 )</t>
  </si>
  <si>
    <t>11/1/2022 09:50:00 min</t>
  </si>
  <si>
    <t>0076208624</t>
  </si>
  <si>
    <t>100 min</t>
  </si>
  <si>
    <t>11/1/2022 10:30:00</t>
  </si>
  <si>
    <t>14 m3</t>
  </si>
  <si>
    <t>C1;C2</t>
  </si>
  <si>
    <t>22 m3</t>
  </si>
  <si>
    <t>C5;C3;C6;C4</t>
  </si>
  <si>
    <t>491725</t>
  </si>
  <si>
    <t>788850</t>
  </si>
  <si>
    <t>11/1/2022 15:40:00</t>
  </si>
  <si>
    <t>29760029-005 - 00000 - VICTOR MASSON TRANSPORTES CRUZ ( 2 )</t>
  </si>
  <si>
    <t>11/1/2022 16:00:00 min</t>
  </si>
  <si>
    <t>0076208074</t>
  </si>
  <si>
    <t>11/1/2022 16:40:00</t>
  </si>
  <si>
    <t>30 m3</t>
  </si>
  <si>
    <t>C1;C5;C3;C6;C4</t>
  </si>
  <si>
    <t>14760707-000 - 15063 - (RE)MERCEN S.A. ( 2 )</t>
  </si>
  <si>
    <t>11/1/2022 16:50:00 min</t>
  </si>
  <si>
    <t>0076210816</t>
  </si>
  <si>
    <t>11/1/2022 17:30:00</t>
  </si>
  <si>
    <t>6 m3</t>
  </si>
  <si>
    <t>491862</t>
  </si>
  <si>
    <t>788851</t>
  </si>
  <si>
    <t>11/1/2022 18:40:00</t>
  </si>
  <si>
    <t>05760794-000 - 16053 - (RE)ESTACIONAMIENTOS TIGRE S A ( 6 )</t>
  </si>
  <si>
    <t>11/1/2022 20:20:00 min</t>
  </si>
  <si>
    <t>0076210899</t>
  </si>
  <si>
    <t>11/1/2022 21:00:00</t>
  </si>
  <si>
    <t>09760175-000 - 30866 - (RE)INVERT S.A  ( 6 )</t>
  </si>
  <si>
    <t>11/1/2022 21:10:00 min</t>
  </si>
  <si>
    <t>0076210900</t>
  </si>
  <si>
    <t>11/1/2022 21:50:00</t>
  </si>
  <si>
    <t>KHA258</t>
  </si>
  <si>
    <t>490782</t>
  </si>
  <si>
    <t>788766</t>
  </si>
  <si>
    <t>14761056-001 - 00000 - MICROOMNIBUS C DE BA.DE T.C.E IN ( 5 )</t>
  </si>
  <si>
    <t>11/1/2022 05:10:00 min</t>
  </si>
  <si>
    <t>0076208713</t>
  </si>
  <si>
    <t>C1;C2;C5;C3;C4;C6</t>
  </si>
  <si>
    <t>490783</t>
  </si>
  <si>
    <t>788767</t>
  </si>
  <si>
    <t>11/1/2022 08:30:00</t>
  </si>
  <si>
    <t>31760214-000 - 00000 - TRANSPORTES JOSE HERNANDEZ   S ( 5 )</t>
  </si>
  <si>
    <t>0076208098</t>
  </si>
  <si>
    <t>11/1/2022 10:00:00</t>
  </si>
  <si>
    <t>19 m3</t>
  </si>
  <si>
    <t>C2;C1;C4</t>
  </si>
  <si>
    <t>31760213-000 - 00000 - TRANSPORTES VILLA BOSCH SOCIED ( 5 )</t>
  </si>
  <si>
    <t>11/1/2022 10:20:00 min</t>
  </si>
  <si>
    <t>0076209249</t>
  </si>
  <si>
    <t>60 min</t>
  </si>
  <si>
    <t>17 m3</t>
  </si>
  <si>
    <t>C5;C3;C6</t>
  </si>
  <si>
    <t>491852</t>
  </si>
  <si>
    <t>788768</t>
  </si>
  <si>
    <t>180</t>
  </si>
  <si>
    <t>07760672-000 - 00660 - (RE)GRUPO FIP SA ( 8 )</t>
  </si>
  <si>
    <t>11/1/2022 18:50:00 min</t>
  </si>
  <si>
    <t>0076210886</t>
  </si>
  <si>
    <t>180 min</t>
  </si>
  <si>
    <t>16 m3</t>
  </si>
  <si>
    <t>C5;C4;C2</t>
  </si>
  <si>
    <t>C3;C6</t>
  </si>
  <si>
    <t>JUS891</t>
  </si>
  <si>
    <t>490784</t>
  </si>
  <si>
    <t>788831</t>
  </si>
  <si>
    <t>10 4 6 4 5 7</t>
  </si>
  <si>
    <t>22760035-001 - 00000 - TRANSPORTES FURLONG SA ( 8 )</t>
  </si>
  <si>
    <t>11/1/2022 06:50:00 min</t>
  </si>
  <si>
    <t>0076208618</t>
  </si>
  <si>
    <t>11/1/2022 08:50:00</t>
  </si>
  <si>
    <t>18 m3</t>
  </si>
  <si>
    <t>0076208619</t>
  </si>
  <si>
    <t>C3;C6;C5</t>
  </si>
  <si>
    <t>491856</t>
  </si>
  <si>
    <t>788832</t>
  </si>
  <si>
    <t>30</t>
  </si>
  <si>
    <t>02760083-000 - 00400 - (RE)BAMBURY SA ( 3 )</t>
  </si>
  <si>
    <t>11/1/2022 16:20:00 min</t>
  </si>
  <si>
    <t>0076210890</t>
  </si>
  <si>
    <t>11/1/2022 17:00:00</t>
  </si>
  <si>
    <t>C5;C6</t>
  </si>
  <si>
    <t>491861</t>
  </si>
  <si>
    <t>788833</t>
  </si>
  <si>
    <t>11/1/2022 17:40:00</t>
  </si>
  <si>
    <t>11/1/2022 18:30:00</t>
  </si>
  <si>
    <t>120</t>
  </si>
  <si>
    <t>07760662-000 - 00282 - (RE)GNC ESCOBAR SA ( 7 )</t>
  </si>
  <si>
    <t>11/1/2022 20:40:00 min</t>
  </si>
  <si>
    <t>0076210897</t>
  </si>
  <si>
    <t>11/1/2022 21:20:00</t>
  </si>
  <si>
    <t>4 m3</t>
  </si>
  <si>
    <t>97760083-000 - 01142 - (RE)OPESSA AUSOL CAMPANA ESTE ( 7 )</t>
  </si>
  <si>
    <t>11/1/2022 21:50:00 min</t>
  </si>
  <si>
    <t>0076210898</t>
  </si>
  <si>
    <t>11/1/2022 22:30:00</t>
  </si>
  <si>
    <t>MEB572</t>
  </si>
  <si>
    <t>MNB174</t>
  </si>
  <si>
    <t>490785</t>
  </si>
  <si>
    <t>788864</t>
  </si>
  <si>
    <t>7 6 6 5 5 7</t>
  </si>
  <si>
    <t>06760449-001 - 00000 - EXPRESO GRAL SARMIENTO SA ( 9 )</t>
  </si>
  <si>
    <t>0076208708</t>
  </si>
  <si>
    <t>C3;C5;C1;C2;C4;C6</t>
  </si>
  <si>
    <t>491756</t>
  </si>
  <si>
    <t>788865</t>
  </si>
  <si>
    <t>02760588-001 - 00000 - BERNARDINO RIVADAVIA S A T A ( 2 )</t>
  </si>
  <si>
    <t>0076210431</t>
  </si>
  <si>
    <t>24 m3</t>
  </si>
  <si>
    <t>C5;C1;C4;C6</t>
  </si>
  <si>
    <t>02760588-002 - 00000 - BERNARDINO RIVADAVIA S A T A ( 2 )</t>
  </si>
  <si>
    <t>0076210379</t>
  </si>
  <si>
    <t>11/1/2022 22:50:00</t>
  </si>
  <si>
    <t>KNT114</t>
  </si>
  <si>
    <t>MQS840</t>
  </si>
  <si>
    <t>490786</t>
  </si>
  <si>
    <t>788838</t>
  </si>
  <si>
    <t>05760918-000 - 00000 - EMPRESA TANDILENSE S A C I F I ( 5 )</t>
  </si>
  <si>
    <t>0076207853</t>
  </si>
  <si>
    <t>C3;C5;C6;C2;C4;C1</t>
  </si>
  <si>
    <t>491869</t>
  </si>
  <si>
    <t>788839</t>
  </si>
  <si>
    <t>11/1/2022 19:30:00</t>
  </si>
  <si>
    <t>11/1/2022 20:20:00</t>
  </si>
  <si>
    <t>21760812-000 - 02056 - (RE) SALGAS S.A. ( 5 )</t>
  </si>
  <si>
    <t>11/1/2022 21:20:00 min</t>
  </si>
  <si>
    <t>0076210909</t>
  </si>
  <si>
    <t>11/1/2022 22:00:00</t>
  </si>
  <si>
    <t>C5;C2;C1</t>
  </si>
  <si>
    <t>KKI334</t>
  </si>
  <si>
    <t>491548</t>
  </si>
  <si>
    <t>788769</t>
  </si>
  <si>
    <t>22760755-005 - 00000 - TRANSPORTES LOPE DE VEGA S A C ( 4 )</t>
  </si>
  <si>
    <t>11/1/2022 04:20:00 min</t>
  </si>
  <si>
    <t>0076210390</t>
  </si>
  <si>
    <t>11/1/2022 05:00:00</t>
  </si>
  <si>
    <t>23 m3</t>
  </si>
  <si>
    <t>C2;C6;C4;C3</t>
  </si>
  <si>
    <t>10760204-001 - 00000 - JUAN B JUSTO SOCIEDAD ANONIMA ( 4 )</t>
  </si>
  <si>
    <t>0076207905</t>
  </si>
  <si>
    <t>490787</t>
  </si>
  <si>
    <t>788770</t>
  </si>
  <si>
    <t>14760747-000 - 00000 - MATERIALES SAN FERNANDO S.A.</t>
  </si>
  <si>
    <t>0076206462</t>
  </si>
  <si>
    <t>26 m3</t>
  </si>
  <si>
    <t>C2;C6;C1;C3</t>
  </si>
  <si>
    <t>491853</t>
  </si>
  <si>
    <t>788771</t>
  </si>
  <si>
    <t>97760069-000 - 00280 - (RE)OPESSA ACA DON TORCUATO ( 9 )</t>
  </si>
  <si>
    <t>0076210887</t>
  </si>
  <si>
    <t>C4;C5;C1</t>
  </si>
  <si>
    <t>491868</t>
  </si>
  <si>
    <t>788772</t>
  </si>
  <si>
    <t>0076210908</t>
  </si>
  <si>
    <t>C4;C3;C5;C1</t>
  </si>
  <si>
    <t>OAY874</t>
  </si>
  <si>
    <t>ECE930</t>
  </si>
  <si>
    <t>490813</t>
  </si>
  <si>
    <t>788874</t>
  </si>
  <si>
    <t>190</t>
  </si>
  <si>
    <t>7 6 7 6 5 5</t>
  </si>
  <si>
    <t>13760030-002 - 00000 - MASTER BUS SA ( 8 )</t>
  </si>
  <si>
    <t>11/1/2022 07:00:00 min</t>
  </si>
  <si>
    <t>0076209029</t>
  </si>
  <si>
    <t>11/1/2022 08:00:00</t>
  </si>
  <si>
    <t>14760706-000 - 00298 - (RE)MI DESTINO S R L ( 7 )</t>
  </si>
  <si>
    <t>0076210809</t>
  </si>
  <si>
    <t>120 min</t>
  </si>
  <si>
    <t>C6;C5</t>
  </si>
  <si>
    <t>OAQ860</t>
  </si>
  <si>
    <t>IRN001</t>
  </si>
  <si>
    <t>490817</t>
  </si>
  <si>
    <t>788873</t>
  </si>
  <si>
    <t>11/1/2022 06:00:00</t>
  </si>
  <si>
    <t>11/1/2022 06:50:00</t>
  </si>
  <si>
    <t>03711020-000 - 13451 - JORGE ALBERTO CASO S A ( 8 )</t>
  </si>
  <si>
    <t>0071617159</t>
  </si>
  <si>
    <t>11/1/2022 10:50:00</t>
  </si>
  <si>
    <t>10710145-000 - 13447 - JORGE ALBERTO CASO ( 8 )</t>
  </si>
  <si>
    <t>11/1/2022 11:10:00 min</t>
  </si>
  <si>
    <t>0071617164</t>
  </si>
  <si>
    <t>11/1/2022 11:50:00</t>
  </si>
  <si>
    <t>C3;C4</t>
  </si>
  <si>
    <t>KKI332</t>
  </si>
  <si>
    <t>491822</t>
  </si>
  <si>
    <t>788774</t>
  </si>
  <si>
    <t>97760174-000 - 02987 - (RE)OPESSA DEBENEDETTI DESCENDENTE ( 5 )</t>
  </si>
  <si>
    <t>0076210840</t>
  </si>
  <si>
    <t>C6;C1</t>
  </si>
  <si>
    <t>490849</t>
  </si>
  <si>
    <t>788775</t>
  </si>
  <si>
    <t>11/1/2022 07:50:00</t>
  </si>
  <si>
    <t>11/1/2022 08:40:00 min</t>
  </si>
  <si>
    <t>0076210803</t>
  </si>
  <si>
    <t>11/1/2022 09:20:00</t>
  </si>
  <si>
    <t>0076210805</t>
  </si>
  <si>
    <t>490821</t>
  </si>
  <si>
    <t>788776</t>
  </si>
  <si>
    <t>11/1/2022 17:40:00 min</t>
  </si>
  <si>
    <t>12/1/2022 14:20:00</t>
  </si>
  <si>
    <t>C1;C5;C4;C2;C3;C6</t>
  </si>
  <si>
    <t>LZF925</t>
  </si>
  <si>
    <t>IRW310</t>
  </si>
  <si>
    <t>490822</t>
  </si>
  <si>
    <t>788860</t>
  </si>
  <si>
    <t>10</t>
  </si>
  <si>
    <t>42760015-000 - 01968 - LAFECOM S.A. ( 2 )</t>
  </si>
  <si>
    <t>11/1/2022 03:00:00 min</t>
  </si>
  <si>
    <t>0076210554</t>
  </si>
  <si>
    <t>04760474-000 - 03342 - (RE)SERVICIOS EAR SRL ( 2 )</t>
  </si>
  <si>
    <t>11/1/2022 03:50:00 min</t>
  </si>
  <si>
    <t>0076210811</t>
  </si>
  <si>
    <t>11/1/2022 04:30:00</t>
  </si>
  <si>
    <t>491452</t>
  </si>
  <si>
    <t>788861</t>
  </si>
  <si>
    <t>02760273-001 - 00000 - BENITO ROG.E HIJ.SA CLIBA I.AMB ( 6 )</t>
  </si>
  <si>
    <t>11/1/2022 07:20:00 min</t>
  </si>
  <si>
    <t>0076208606</t>
  </si>
  <si>
    <t>C5;C3</t>
  </si>
  <si>
    <t>C1;C4</t>
  </si>
  <si>
    <t>29767254-000 - 00151 - (RE)ACA PANAMERICANA ACC 1 ( 5 )</t>
  </si>
  <si>
    <t>11/1/2022 08:20:00 min</t>
  </si>
  <si>
    <t>0076210814</t>
  </si>
  <si>
    <t>11/1/2022 09:00:00</t>
  </si>
  <si>
    <t>490930</t>
  </si>
  <si>
    <t>788862</t>
  </si>
  <si>
    <t>10760207-000 - 00000 - AZUL S A DE TRANSPORTE AUTOMOT ( 5 )</t>
  </si>
  <si>
    <t>0076207838</t>
  </si>
  <si>
    <t>C2;C5;C1;C3;C4</t>
  </si>
  <si>
    <t>491455</t>
  </si>
  <si>
    <t>788863</t>
  </si>
  <si>
    <t>11/1/2022 18:20:00</t>
  </si>
  <si>
    <t>11/1/2022 19:10:00</t>
  </si>
  <si>
    <t>110</t>
  </si>
  <si>
    <t>03761361-000 - 31118 - COMBUSTIBLES VEINTICINCO SRL ( 9 )</t>
  </si>
  <si>
    <t>11/1/2022 21:00:00 min</t>
  </si>
  <si>
    <t>0076210514</t>
  </si>
  <si>
    <t>11/1/2022 21:40:00</t>
  </si>
  <si>
    <t>06760485-000 - 00332 - FSE SA ( 9 )</t>
  </si>
  <si>
    <t>11/1/2022 22:50:00 min</t>
  </si>
  <si>
    <t>0076210524</t>
  </si>
  <si>
    <t>11/1/2022 23:30:00</t>
  </si>
  <si>
    <t>unidad 46</t>
  </si>
  <si>
    <t>JXR994</t>
  </si>
  <si>
    <t>490829</t>
  </si>
  <si>
    <t>788802</t>
  </si>
  <si>
    <t>170</t>
  </si>
  <si>
    <t>18760561-000 - 00665 - PARADOR ROBLES SRL ( 9 )</t>
  </si>
  <si>
    <t>11/1/2022 18:40:00 min</t>
  </si>
  <si>
    <t>0076210538</t>
  </si>
  <si>
    <t>19760233-000 - 15285 - SERVICIOS EXALTACION DE LA CRUZ ( 9 )</t>
  </si>
  <si>
    <t>11/1/2022 20:00:00 min</t>
  </si>
  <si>
    <t>0076210541</t>
  </si>
  <si>
    <t>IVA840</t>
  </si>
  <si>
    <t>490843</t>
  </si>
  <si>
    <t>788764</t>
  </si>
  <si>
    <t>81511</t>
  </si>
  <si>
    <t>18760792-000 - 00591 - PETROCA#UELAS SRL ( 3 )</t>
  </si>
  <si>
    <t>11/1/2022 05:30:00 min</t>
  </si>
  <si>
    <t>0076210539</t>
  </si>
  <si>
    <t>11/1/2022 06:10:00</t>
  </si>
  <si>
    <t>C6;C2</t>
  </si>
  <si>
    <t>0081 - AEROESTACION EZEIZA ( 3 )</t>
  </si>
  <si>
    <t>11/1/2022 08:00:00 min</t>
  </si>
  <si>
    <t>0021138611</t>
  </si>
  <si>
    <t>490845</t>
  </si>
  <si>
    <t>788777</t>
  </si>
  <si>
    <t>22760219-002 - 00000 - TRANSPORTES JOSE BERALDI SA ( 3 )</t>
  </si>
  <si>
    <t>11/1/2022 11:00:00 min</t>
  </si>
  <si>
    <t>0076210582</t>
  </si>
  <si>
    <t>11/1/2022 12:00:00</t>
  </si>
  <si>
    <t>C1;C2;C5;C4;C3;C6</t>
  </si>
  <si>
    <t>MEB573</t>
  </si>
  <si>
    <t>MFN538</t>
  </si>
  <si>
    <t>491821</t>
  </si>
  <si>
    <t>788866</t>
  </si>
  <si>
    <t>0076210839</t>
  </si>
  <si>
    <t>C1;C2;C5;C3;C4</t>
  </si>
  <si>
    <t>491835</t>
  </si>
  <si>
    <t>788867</t>
  </si>
  <si>
    <t>11/1/2022 04:50:00</t>
  </si>
  <si>
    <t>97760088-000 - 02563 - (RE)OPESSA RICCHIERI CAPITAL ( 2 )</t>
  </si>
  <si>
    <t>0076210860</t>
  </si>
  <si>
    <t>490859</t>
  </si>
  <si>
    <t>788868</t>
  </si>
  <si>
    <t>21760743-000 - 00178 - SUPER SERVICIOS OLIVOS SRL ( 5 )</t>
  </si>
  <si>
    <t>0076210546</t>
  </si>
  <si>
    <t>0076210807</t>
  </si>
  <si>
    <t>C2;C3</t>
  </si>
  <si>
    <t>491036</t>
  </si>
  <si>
    <t>788869</t>
  </si>
  <si>
    <t>05760104-000 - 00291 - EL CURVON SRL. ( 6 )</t>
  </si>
  <si>
    <t>11/1/2022 16:30:00 min</t>
  </si>
  <si>
    <t>0076210520</t>
  </si>
  <si>
    <t>50 min</t>
  </si>
  <si>
    <t>11/1/2022 17:10:00</t>
  </si>
  <si>
    <t>22760845-000 - 00799 - VASISHTHA S.R.L. ( 6 )</t>
  </si>
  <si>
    <t>11/1/2022 18:00:00 min</t>
  </si>
  <si>
    <t>0076210551</t>
  </si>
  <si>
    <t>11/1/2022 19:00:00</t>
  </si>
  <si>
    <t>491876</t>
  </si>
  <si>
    <t>788870</t>
  </si>
  <si>
    <t>11/1/2022 21:10:00</t>
  </si>
  <si>
    <t>97760135-000 - 00095 - (RE)OPESSA DORREGO ( 1 )</t>
  </si>
  <si>
    <t>11/1/2022 22:00:00 min</t>
  </si>
  <si>
    <t>0076210916</t>
  </si>
  <si>
    <t>11/1/2022 23:00:00</t>
  </si>
  <si>
    <t>KRE033</t>
  </si>
  <si>
    <t>IOI085</t>
  </si>
  <si>
    <t>490865</t>
  </si>
  <si>
    <t>788840</t>
  </si>
  <si>
    <t>22760839-000 - 31246 - TIERRA DE OPORTUNIDADES S.A. ( 3 )</t>
  </si>
  <si>
    <t>0076210550</t>
  </si>
  <si>
    <t>110 min</t>
  </si>
  <si>
    <t>C2;C1;C3;C6</t>
  </si>
  <si>
    <t>491877</t>
  </si>
  <si>
    <t>788841</t>
  </si>
  <si>
    <t>02760503-000 - 00199 - (RE)BALLCAR AUTOMOTORES S.A. ( 5 )</t>
  </si>
  <si>
    <t>0076210917</t>
  </si>
  <si>
    <t>11760062-000 - 00193 - (RE)KOMO SAICI ( 5 )</t>
  </si>
  <si>
    <t>11/1/2022 23:00:00 min</t>
  </si>
  <si>
    <t>0076210918</t>
  </si>
  <si>
    <t>12/1/2022 00:00:00</t>
  </si>
  <si>
    <t>KRE044</t>
  </si>
  <si>
    <t>IVA839</t>
  </si>
  <si>
    <t>490866</t>
  </si>
  <si>
    <t>788842</t>
  </si>
  <si>
    <t>21761087-000 - 13737 - GARIN COMBUSTIBLES SA ( 7 )</t>
  </si>
  <si>
    <t>0076210548</t>
  </si>
  <si>
    <t>20 m3</t>
  </si>
  <si>
    <t>C6;C1;C5</t>
  </si>
  <si>
    <t>491872</t>
  </si>
  <si>
    <t>788843</t>
  </si>
  <si>
    <t>11/1/2022 20:10:00</t>
  </si>
  <si>
    <t>05760462-000 - 00760 - (RE)EST.DE SERVICIO SATRAGNO S.R.L. ( 2 )</t>
  </si>
  <si>
    <t>0076210912</t>
  </si>
  <si>
    <t>C5;C1</t>
  </si>
  <si>
    <t>IVY575</t>
  </si>
  <si>
    <t>491825</t>
  </si>
  <si>
    <t>788782</t>
  </si>
  <si>
    <t>97760090-000 - 01414 - (RE)OPESSA BELLA VISTA ( 9 )</t>
  </si>
  <si>
    <t>11/1/2022 04:10:00 min</t>
  </si>
  <si>
    <t>0076210844</t>
  </si>
  <si>
    <t>C3;C1;C4</t>
  </si>
  <si>
    <t>490967</t>
  </si>
  <si>
    <t>788783</t>
  </si>
  <si>
    <t>11/1/2022 06:30:00</t>
  </si>
  <si>
    <t>17760416-013 - 00000 - OPERAD.FERROV SOC ESTADO.(SOFSE) ( 5 )</t>
  </si>
  <si>
    <t>0076207221</t>
  </si>
  <si>
    <t>12760776-000 - 03087 - (RE)LIBERTY LION SRL ( 5 )</t>
  </si>
  <si>
    <t>0076210810</t>
  </si>
  <si>
    <t>491508</t>
  </si>
  <si>
    <t>788784</t>
  </si>
  <si>
    <t>01762193-001 - 00000 - COMPA#IA LA ISLE#A SRL ( 5 )</t>
  </si>
  <si>
    <t>11/1/2022 16:10:00 min</t>
  </si>
  <si>
    <t>0076210346</t>
  </si>
  <si>
    <t>11/1/2022 16:50:00</t>
  </si>
  <si>
    <t>C3;C1;C5;C2;C4</t>
  </si>
  <si>
    <t>491864</t>
  </si>
  <si>
    <t>788785</t>
  </si>
  <si>
    <t>11/1/2022 19:20:00</t>
  </si>
  <si>
    <t>18760436-000 - 03265 - (RE)PETRO ARG S R L ( 5 )</t>
  </si>
  <si>
    <t>0076210903</t>
  </si>
  <si>
    <t>JUS890</t>
  </si>
  <si>
    <t>490973</t>
  </si>
  <si>
    <t>81512</t>
  </si>
  <si>
    <t>200</t>
  </si>
  <si>
    <t>0579 - YPF DIRECTO SAN ANTONIO ARECO</t>
  </si>
  <si>
    <t>0021138614</t>
  </si>
  <si>
    <t>200 min</t>
  </si>
  <si>
    <t>11/1/2022 12:30:00</t>
  </si>
  <si>
    <t>C3;C6;C2;C5;C1;C4</t>
  </si>
  <si>
    <t>IKW511</t>
  </si>
  <si>
    <t>491022</t>
  </si>
  <si>
    <t>788790</t>
  </si>
  <si>
    <t>6 5 5 4 4 6</t>
  </si>
  <si>
    <t>22760054-000 - 00311 - TOMASELLI RICARDO VICTOR ( 6 )</t>
  </si>
  <si>
    <t>0076210482</t>
  </si>
  <si>
    <t>C6;C4;C5;C1</t>
  </si>
  <si>
    <t>491026</t>
  </si>
  <si>
    <t>788791</t>
  </si>
  <si>
    <t>11/1/2022 12:50:00</t>
  </si>
  <si>
    <t>11/1/2022 13:40:00</t>
  </si>
  <si>
    <t>11/1/2022 15:00:00 min</t>
  </si>
  <si>
    <t>0076210511</t>
  </si>
  <si>
    <t>C4;C5;C1;C2;C3</t>
  </si>
  <si>
    <t>AB046LK</t>
  </si>
  <si>
    <t>KER988</t>
  </si>
  <si>
    <t>491726</t>
  </si>
  <si>
    <t>788778</t>
  </si>
  <si>
    <t>0076210389</t>
  </si>
  <si>
    <t>C4;C3;C1;C6</t>
  </si>
  <si>
    <t>491032</t>
  </si>
  <si>
    <t>788779</t>
  </si>
  <si>
    <t>11/1/2022 07:30:00</t>
  </si>
  <si>
    <t>11/1/2022 08:20:00</t>
  </si>
  <si>
    <t>13760314-000 - 31201 - (RE)OGP CA#UELAS S.A. ( 3 )</t>
  </si>
  <si>
    <t>0076210812</t>
  </si>
  <si>
    <t>C5;C1;C6</t>
  </si>
  <si>
    <t>491848</t>
  </si>
  <si>
    <t>788780</t>
  </si>
  <si>
    <t>03761351-000 - 31127 - (RE)CERVETTI S.A. ( 3 )</t>
  </si>
  <si>
    <t>0076210878</t>
  </si>
  <si>
    <t>09760069-000 - 02930 - (RE)IACONO JUAN ( 3 )</t>
  </si>
  <si>
    <t>0076210879</t>
  </si>
  <si>
    <t>491865</t>
  </si>
  <si>
    <t>788781</t>
  </si>
  <si>
    <t>97760084-000 - 03329 - (RE)OPESSA AUSOL CAMPANA OESTE ( 7 )</t>
  </si>
  <si>
    <t>0076210904</t>
  </si>
  <si>
    <t>C5;C6;C1</t>
  </si>
  <si>
    <t>MNB175</t>
  </si>
  <si>
    <t>491823</t>
  </si>
  <si>
    <t>788810</t>
  </si>
  <si>
    <t>130</t>
  </si>
  <si>
    <t>21761067-000 - 31168 - (RE)SHIGA MOTORS SA ( 9 )</t>
  </si>
  <si>
    <t>11/1/2022 05:00:00 min</t>
  </si>
  <si>
    <t>0076210841</t>
  </si>
  <si>
    <t>11/1/2022 05:40:00</t>
  </si>
  <si>
    <t>491116</t>
  </si>
  <si>
    <t>788811</t>
  </si>
  <si>
    <t>04760628-000 - 00388 - DISTRIBUIDORA SUR S A</t>
  </si>
  <si>
    <t>0076210519</t>
  </si>
  <si>
    <t>05760713-000 - 03343 - ESTACION MONTE GRANDE S A ( 3 )</t>
  </si>
  <si>
    <t>11/1/2022 10:10:00 min</t>
  </si>
  <si>
    <t>0076210521</t>
  </si>
  <si>
    <t>11/1/2022 11:10:00</t>
  </si>
  <si>
    <t>IRN000</t>
  </si>
  <si>
    <t>491463</t>
  </si>
  <si>
    <t>788806</t>
  </si>
  <si>
    <t>12760801-001 - 00000 - LA CABA?A SOCIEDAD ANONIMA ( 2 )</t>
  </si>
  <si>
    <t>0076210336</t>
  </si>
  <si>
    <t>C3;C1;C4;C5</t>
  </si>
  <si>
    <t>491121</t>
  </si>
  <si>
    <t>788807</t>
  </si>
  <si>
    <t>01762199-005 - 00000 - LA NUEVA METROPOL SA ( 7 )</t>
  </si>
  <si>
    <t>0076208705</t>
  </si>
  <si>
    <t>C1;C4;C5;C2</t>
  </si>
  <si>
    <t>29767041-000 - 00279 - ACA DELTA ( 6 )</t>
  </si>
  <si>
    <t>0076210476</t>
  </si>
  <si>
    <t>491854</t>
  </si>
  <si>
    <t>788808</t>
  </si>
  <si>
    <t>20760067-000 - 00563 - (RE)RISCAM SRL ( 3 )</t>
  </si>
  <si>
    <t>0076210888</t>
  </si>
  <si>
    <t>C4;C5;C6</t>
  </si>
  <si>
    <t>491866</t>
  </si>
  <si>
    <t>788809</t>
  </si>
  <si>
    <t>97760059-000 - 03003 - (RE)OPESSA AUSOL PILAR SUR ( 9 )</t>
  </si>
  <si>
    <t>0076210905</t>
  </si>
  <si>
    <t>C5;C1;C2</t>
  </si>
  <si>
    <t>JXR998</t>
  </si>
  <si>
    <t>491830</t>
  </si>
  <si>
    <t>788827</t>
  </si>
  <si>
    <t>18760521-000 - 00745 - (RE)P ZUCCO Y CIA SA ( 2 )</t>
  </si>
  <si>
    <t>0076210852</t>
  </si>
  <si>
    <t>9 m3</t>
  </si>
  <si>
    <t>C2;C5</t>
  </si>
  <si>
    <t>C4;C3;C1</t>
  </si>
  <si>
    <t>491156</t>
  </si>
  <si>
    <t>788828</t>
  </si>
  <si>
    <t>21760814-000 - 00227 - SACOMA S.A. ( 5 )</t>
  </si>
  <si>
    <t>0076210547</t>
  </si>
  <si>
    <t>OAY875</t>
  </si>
  <si>
    <t>KTC402</t>
  </si>
  <si>
    <t>491180</t>
  </si>
  <si>
    <t>788875</t>
  </si>
  <si>
    <t>70</t>
  </si>
  <si>
    <t>22760185-005 - 00000 - TRANSPORTES OLIVOS SACIYF ( 5 )</t>
  </si>
  <si>
    <t>0076208653</t>
  </si>
  <si>
    <t>C3;C5;C2;C4;C1</t>
  </si>
  <si>
    <t>491457</t>
  </si>
  <si>
    <t>788876</t>
  </si>
  <si>
    <t>11/1/2022 18:50:00</t>
  </si>
  <si>
    <t>11/1/2022 21:40:00 min</t>
  </si>
  <si>
    <t>11/1/2022 22:20:00</t>
  </si>
  <si>
    <t>03761345-000 - 13499 - (RE)SAN MIGUEL COMBUSTIBLES SA ( 9 )</t>
  </si>
  <si>
    <t>11/1/2022 22:30:00 min</t>
  </si>
  <si>
    <t>0076210813</t>
  </si>
  <si>
    <t>12/1/2022 15:40:00</t>
  </si>
  <si>
    <t>HCZ539</t>
  </si>
  <si>
    <t>491577</t>
  </si>
  <si>
    <t>788819</t>
  </si>
  <si>
    <t>10 4 7 4 5 6</t>
  </si>
  <si>
    <t>22760754-002 - 00000 - TRANSPORTES AUTOMOTORES CALLAO ( 4 )</t>
  </si>
  <si>
    <t>11/1/2022 04:30:00 min</t>
  </si>
  <si>
    <t>0076210408</t>
  </si>
  <si>
    <t>11/1/2022 05:10:00</t>
  </si>
  <si>
    <t>C5;C6;C3</t>
  </si>
  <si>
    <t>11/1/2022 05:20:00 min</t>
  </si>
  <si>
    <t>491498</t>
  </si>
  <si>
    <t>788820</t>
  </si>
  <si>
    <t>02760272-001 - 00000 - BENITO ROG.E HIJOS SA TECSAN UTE ( 5 )</t>
  </si>
  <si>
    <t>0076210122</t>
  </si>
  <si>
    <t>C1;C4;C3;C2;C5;C6</t>
  </si>
  <si>
    <t>491855</t>
  </si>
  <si>
    <t>788821</t>
  </si>
  <si>
    <t>97760064-000 - 00421 - (RE)OPESSA ZARATE ( 8 )</t>
  </si>
  <si>
    <t>0076210889</t>
  </si>
  <si>
    <t>28 m3</t>
  </si>
  <si>
    <t>C5;C6;C3;C1</t>
  </si>
  <si>
    <t>IVY574</t>
  </si>
  <si>
    <t>491826</t>
  </si>
  <si>
    <t>788786</t>
  </si>
  <si>
    <t>01762185-000 - 31187 - (RE)AMERICA 210 SA ( 3 )</t>
  </si>
  <si>
    <t>0076210845</t>
  </si>
  <si>
    <t>C3;C2;C5;C4</t>
  </si>
  <si>
    <t>491533</t>
  </si>
  <si>
    <t>788787</t>
  </si>
  <si>
    <t>03760400-000 - 00000 - COLONIA SA ( 5 )</t>
  </si>
  <si>
    <t>0076200715</t>
  </si>
  <si>
    <t>0076200716</t>
  </si>
  <si>
    <t>97760092-000 - 00184 - (RE)OPESSA UGARTE ( 5 )</t>
  </si>
  <si>
    <t>0076210815</t>
  </si>
  <si>
    <t>491844</t>
  </si>
  <si>
    <t>788788</t>
  </si>
  <si>
    <t>97760097-000 - 00317 - (RE)OPESSA ACA PILAR ( 9 )</t>
  </si>
  <si>
    <t>11/1/2022 17:00:00 min</t>
  </si>
  <si>
    <t>0076210871</t>
  </si>
  <si>
    <t>07760047-000 - 00322 - (RE)GAS IMPULSO S A ( 9 )</t>
  </si>
  <si>
    <t>11/1/2022 17:50:00 min</t>
  </si>
  <si>
    <t>0076210872</t>
  </si>
  <si>
    <t>491879</t>
  </si>
  <si>
    <t>788789</t>
  </si>
  <si>
    <t>05760663-000 - 00739 - (RE)E.DE SER. ECHEVERRIA E HIJOS SRL ( 2 )</t>
  </si>
  <si>
    <t>0076210920</t>
  </si>
  <si>
    <t>AE869NR</t>
  </si>
  <si>
    <t>HCZ537</t>
  </si>
  <si>
    <t>491760</t>
  </si>
  <si>
    <t>788834</t>
  </si>
  <si>
    <t>22760517-003 - 00000 - TRADELOG SA ( 9 )</t>
  </si>
  <si>
    <t>0076210600</t>
  </si>
  <si>
    <t>C1;C2;C3;C4;C5;C6</t>
  </si>
  <si>
    <t>491841</t>
  </si>
  <si>
    <t>788835</t>
  </si>
  <si>
    <t>11/1/2022 12:40:00</t>
  </si>
  <si>
    <t>10760201-000 - 15338 - (RE)JOSFRA SRL ( 5 )</t>
  </si>
  <si>
    <t>11/1/2022 13:30:00 min</t>
  </si>
  <si>
    <t>0076210867</t>
  </si>
  <si>
    <t>11/1/2022 14:10:00</t>
  </si>
  <si>
    <t>ISY356</t>
  </si>
  <si>
    <t>491824</t>
  </si>
  <si>
    <t>788798</t>
  </si>
  <si>
    <t>02760220-000 - 00345 - (RE)BUZANCY S.A. ( 9 )</t>
  </si>
  <si>
    <t>0076210842</t>
  </si>
  <si>
    <t>0076210843</t>
  </si>
  <si>
    <t>C1;C5;C3</t>
  </si>
  <si>
    <t>491838</t>
  </si>
  <si>
    <t>788799</t>
  </si>
  <si>
    <t>12760570-000 - 00735 - (RE)LA DECADA S R L ( 4 )</t>
  </si>
  <si>
    <t>0076210864</t>
  </si>
  <si>
    <t>491842</t>
  </si>
  <si>
    <t>788800</t>
  </si>
  <si>
    <t>140</t>
  </si>
  <si>
    <t>23760129-000 - 00319 - (RE)UNITY OIL S.A. ( 9 )</t>
  </si>
  <si>
    <t>0076210868</t>
  </si>
  <si>
    <t>140 min</t>
  </si>
  <si>
    <t>C2;C1;C3</t>
  </si>
  <si>
    <t>491875</t>
  </si>
  <si>
    <t>788801</t>
  </si>
  <si>
    <t>11/1/2022 21:30:00 min</t>
  </si>
  <si>
    <t>0076210915</t>
  </si>
  <si>
    <t>11/1/2022 22:10:00</t>
  </si>
  <si>
    <t>C1;C3</t>
  </si>
  <si>
    <t>OAY877</t>
  </si>
  <si>
    <t>491827</t>
  </si>
  <si>
    <t>788877</t>
  </si>
  <si>
    <t>29766711-000 - 00117 - (RE)ACA BELGRANO ( 1 )</t>
  </si>
  <si>
    <t>0076210846</t>
  </si>
  <si>
    <t>29767122-000 - 00150 - (RE)ACA OLIVOS ( 5 )</t>
  </si>
  <si>
    <t>0076210847</t>
  </si>
  <si>
    <t>491836</t>
  </si>
  <si>
    <t>788878</t>
  </si>
  <si>
    <t>29760001-000 - 02953 - (RE)ACA AUTOPISTA DEL BUEN AYRE SUR ( 5 )</t>
  </si>
  <si>
    <t>0076210861</t>
  </si>
  <si>
    <t>491843</t>
  </si>
  <si>
    <t>788879</t>
  </si>
  <si>
    <t>97760091-000 - 03339 - (RE)OPESSA EL CRUCE ( 9 )</t>
  </si>
  <si>
    <t>0076210869</t>
  </si>
  <si>
    <t>21760574-000 - 00305 - (RE)SUPER SERVICIOS SA ( 6 )</t>
  </si>
  <si>
    <t>0076210870</t>
  </si>
  <si>
    <t>491871</t>
  </si>
  <si>
    <t>788880</t>
  </si>
  <si>
    <t>97760056-000 - 03160 - (RE)OPESSA PRINGLES ( 1 )</t>
  </si>
  <si>
    <t>0076210911</t>
  </si>
  <si>
    <t>HCZ541</t>
  </si>
  <si>
    <t>491829</t>
  </si>
  <si>
    <t>788822</t>
  </si>
  <si>
    <t>21760800-000 - 00349 - (RE)SERVICIOS PILAR SA ( 9 )</t>
  </si>
  <si>
    <t>11/1/2022 06:00:00 min</t>
  </si>
  <si>
    <t>0076210850</t>
  </si>
  <si>
    <t>21760142-000 - 02984 - (RE)SERVICIOS PILAR SA ( 9 )</t>
  </si>
  <si>
    <t>0076210851</t>
  </si>
  <si>
    <t>130 min</t>
  </si>
  <si>
    <t>491840</t>
  </si>
  <si>
    <t>788823</t>
  </si>
  <si>
    <t>04760413-000 - 00726 - (RE)DUFAU HNOS S A ( 2 )</t>
  </si>
  <si>
    <t>11/1/2022 11:20:00 min</t>
  </si>
  <si>
    <t>0076210866</t>
  </si>
  <si>
    <t>11/1/2022 12:10:00</t>
  </si>
  <si>
    <t>491849</t>
  </si>
  <si>
    <t>788824</t>
  </si>
  <si>
    <t>04760491-000 - 00389 - (RE)DON ANTONIO Y FLIA S.A. ( 3 )</t>
  </si>
  <si>
    <t>0076210880</t>
  </si>
  <si>
    <t>C4;C6</t>
  </si>
  <si>
    <t>491860</t>
  </si>
  <si>
    <t>788825</t>
  </si>
  <si>
    <t>18760483-000 - 16137 - (RE)P.ZUCCO Y CIA S.A. ( 3 )</t>
  </si>
  <si>
    <t>0076210896</t>
  </si>
  <si>
    <t>C4;C1</t>
  </si>
  <si>
    <t>491873</t>
  </si>
  <si>
    <t>788826</t>
  </si>
  <si>
    <t>97760235-000 - 30548 - (RE)OPESSA BANCALARI ( 6 )</t>
  </si>
  <si>
    <t>0076210913</t>
  </si>
  <si>
    <t>LZZ794</t>
  </si>
  <si>
    <t>491831</t>
  </si>
  <si>
    <t>788814</t>
  </si>
  <si>
    <t>29767483-000 - 00800 - (RE)ACA PANAMERICANA ACC 2 ( 5 )</t>
  </si>
  <si>
    <t>0076210853</t>
  </si>
  <si>
    <t>C2;C3;C5;C4</t>
  </si>
  <si>
    <t>11/1/2022 07:10:00 min</t>
  </si>
  <si>
    <t>0076210854</t>
  </si>
  <si>
    <t>491839</t>
  </si>
  <si>
    <t>788815</t>
  </si>
  <si>
    <t>25760008-000 - 00762 - (RE)WORKERS S A ( 2 )</t>
  </si>
  <si>
    <t>0076210865</t>
  </si>
  <si>
    <t>C1;C2;C3</t>
  </si>
  <si>
    <t>491846</t>
  </si>
  <si>
    <t>788816</t>
  </si>
  <si>
    <t>03760992-000 - 00218 - (RE)CORAFAL NORTE S.A. EN FORMACION ( 5 )</t>
  </si>
  <si>
    <t>11/1/2022 15:40:00 min</t>
  </si>
  <si>
    <t>0076210875</t>
  </si>
  <si>
    <t>11/1/2022 16:20:00</t>
  </si>
  <si>
    <t>97760146-000 - 01415 - (RE)OPESSA PERDRIEL ( 5 )</t>
  </si>
  <si>
    <t>0076210876</t>
  </si>
  <si>
    <t>491863</t>
  </si>
  <si>
    <t>788817</t>
  </si>
  <si>
    <t>97760242-000 - 03159 - (RE)OPESSA RETIRO TERMINAL ( 1 )</t>
  </si>
  <si>
    <t>0076210901</t>
  </si>
  <si>
    <t>97760073-000 - 03318 - (RE)OPESSA NICARAGUA ( 1 )</t>
  </si>
  <si>
    <t>0076210902</t>
  </si>
  <si>
    <t>491832</t>
  </si>
  <si>
    <t>788804</t>
  </si>
  <si>
    <t>43 m3</t>
  </si>
  <si>
    <t>7 5 6 7 7 5 6</t>
  </si>
  <si>
    <t>0076210855</t>
  </si>
  <si>
    <t>C7;C5</t>
  </si>
  <si>
    <t>491859</t>
  </si>
  <si>
    <t>788805</t>
  </si>
  <si>
    <t>160</t>
  </si>
  <si>
    <t>97760217-000 - 03253 - (RE)OPESSA AUSOL CAMPANA KM 72 AS189 ( 8 )</t>
  </si>
  <si>
    <t>11/1/2022 18:30:00 min</t>
  </si>
  <si>
    <t>0076210894</t>
  </si>
  <si>
    <t>C2;C7</t>
  </si>
  <si>
    <t>97760218-000 - 03254 - (RE)OPESSA AUSOL CAMPANA KM 72 DE190 ( 8 )</t>
  </si>
  <si>
    <t>11/1/2022 19:40:00 min</t>
  </si>
  <si>
    <t>0076210895</t>
  </si>
  <si>
    <t>160 min</t>
  </si>
  <si>
    <t>ITU969</t>
  </si>
  <si>
    <t>491833</t>
  </si>
  <si>
    <t>788794</t>
  </si>
  <si>
    <t>19760237-000 - 00288 - (RE)SUPER SERVICIOS SA ( 6 )</t>
  </si>
  <si>
    <t>0076210856</t>
  </si>
  <si>
    <t>18760262-000 - 00293 - (RE)PUENTE VANGUARDIA SA ( 6 )</t>
  </si>
  <si>
    <t>0076210857</t>
  </si>
  <si>
    <t>491837</t>
  </si>
  <si>
    <t>788795</t>
  </si>
  <si>
    <t>03761214-000 - 00752 - (RE)CHILABERT 1990 SRL ( 2 )</t>
  </si>
  <si>
    <t>0076210862</t>
  </si>
  <si>
    <t>14760772-000 - 00753 - (RE)MELINCUE SOCIEDAD DE RESPONSAB ( 2 )</t>
  </si>
  <si>
    <t>11/1/2022 10:30:00 min</t>
  </si>
  <si>
    <t>0076210863</t>
  </si>
  <si>
    <t>491845</t>
  </si>
  <si>
    <t>788796</t>
  </si>
  <si>
    <t>97760078-000 - 00167 - (RE)OPESSA VICENTE LOPEZ ( 5 )</t>
  </si>
  <si>
    <t>0076210873</t>
  </si>
  <si>
    <t>22760415-000 - 02972 - (RE)TORAZO S.R.L. ( 5 )</t>
  </si>
  <si>
    <t>0076210874</t>
  </si>
  <si>
    <t>491867</t>
  </si>
  <si>
    <t>788797</t>
  </si>
  <si>
    <t>04760480-000 - 00729 - (RE)DIVE SRL ( 2 )</t>
  </si>
  <si>
    <t>0076210906</t>
  </si>
  <si>
    <t>11760054-000 - 03166 - (RE)KOFEGAS  S A ( 4 )</t>
  </si>
  <si>
    <t>0076210907</t>
  </si>
  <si>
    <t>OTX642</t>
  </si>
  <si>
    <t>491834</t>
  </si>
  <si>
    <t>788881</t>
  </si>
  <si>
    <t>7 7 7 5 5 6 6</t>
  </si>
  <si>
    <t>11/1/2022 06:30:00 min</t>
  </si>
  <si>
    <t>0076210858</t>
  </si>
  <si>
    <t>C4;C6;C7</t>
  </si>
  <si>
    <t>97760161-000 - 02904 - (RE)OPESSA BR ZARATE ( 8 )</t>
  </si>
  <si>
    <t>0076210859</t>
  </si>
  <si>
    <t>11/1/2022 08:40:00</t>
  </si>
  <si>
    <t>491857</t>
  </si>
  <si>
    <t>788882</t>
  </si>
  <si>
    <t>14760097-000 - 00297 - (RE)MARTIN BARROCAS Y CIA SRL ( 7 )</t>
  </si>
  <si>
    <t>0076210891</t>
  </si>
  <si>
    <t>C5;C4;C7;C1</t>
  </si>
  <si>
    <t>KKI335</t>
  </si>
  <si>
    <t>491847</t>
  </si>
  <si>
    <t>788773</t>
  </si>
  <si>
    <t>28760044-000 - 00661 - (RE)ZARCAM S A ( 8 )</t>
  </si>
  <si>
    <t>0076210877</t>
  </si>
  <si>
    <t>C3;C5;C6</t>
  </si>
  <si>
    <t>JXR997</t>
  </si>
  <si>
    <t>491850</t>
  </si>
  <si>
    <t>788829</t>
  </si>
  <si>
    <t>0076210881</t>
  </si>
  <si>
    <t>11/1/2022 18:10:00 min</t>
  </si>
  <si>
    <t>0076210882</t>
  </si>
  <si>
    <t>23760007-000 - 00155 - (RE)PEAGUDA LOSADA J SILVA ABOID A ( 5 )</t>
  </si>
  <si>
    <t>11/1/2022 19:20:00 min</t>
  </si>
  <si>
    <t>0076210883</t>
  </si>
  <si>
    <t>491880</t>
  </si>
  <si>
    <t>788830</t>
  </si>
  <si>
    <t>21761066-000 - 31144 - (RE)SUR CARBURANTES SA ( 3 )</t>
  </si>
  <si>
    <t>0076210921</t>
  </si>
  <si>
    <t>11/1/2022 23:50:00</t>
  </si>
  <si>
    <t>NYN888</t>
  </si>
  <si>
    <t>IRN003</t>
  </si>
  <si>
    <t>491851</t>
  </si>
  <si>
    <t>788871</t>
  </si>
  <si>
    <t>06760209-000 - 30571 - (RE)FLORIPO S.A. ( 9 )</t>
  </si>
  <si>
    <t>0076210884</t>
  </si>
  <si>
    <t>97760164-000 - 00283 - (RE)OPESSA LA CALETA ( 9 )</t>
  </si>
  <si>
    <t>0076210885</t>
  </si>
  <si>
    <t>491874</t>
  </si>
  <si>
    <t>788872</t>
  </si>
  <si>
    <t>0076210914</t>
  </si>
  <si>
    <t>GZK448</t>
  </si>
  <si>
    <t>491858</t>
  </si>
  <si>
    <t>788818</t>
  </si>
  <si>
    <t>01761713-000 - 01416 - (RE)ALLI VAMOS SA ( 9 )</t>
  </si>
  <si>
    <t>0076210892</t>
  </si>
  <si>
    <t>01761712-000 - 30673 - (RE)ALLI VAMOS S.A. ( 9 )</t>
  </si>
  <si>
    <t>0076210893</t>
  </si>
  <si>
    <t>chofer</t>
  </si>
  <si>
    <t>empresa</t>
  </si>
  <si>
    <t>MEYER CARLOS ALBERTO</t>
  </si>
  <si>
    <t>USTARI MARTIN EDUARDO</t>
  </si>
  <si>
    <t>SORIA RODRIGO EZEQUIEL</t>
  </si>
  <si>
    <t>GONZALEZ SILVIO NICOLAS</t>
  </si>
  <si>
    <t>LUNA HERMAN SERGIO</t>
  </si>
  <si>
    <t>PENTECOSTE CRISTIAN EZEQUIEL</t>
  </si>
  <si>
    <t>CONTRI WALTER HERNAN</t>
  </si>
  <si>
    <t>ESPINOSA ADRIAN ALEJANDRO</t>
  </si>
  <si>
    <t>GOMEZ JAVIER MAXIMILIANO</t>
  </si>
  <si>
    <t xml:space="preserve">   318</t>
  </si>
  <si>
    <t xml:space="preserve">   736</t>
  </si>
  <si>
    <t xml:space="preserve">  2157</t>
  </si>
  <si>
    <t xml:space="preserve">  2183</t>
  </si>
  <si>
    <t xml:space="preserve">  2185</t>
  </si>
  <si>
    <t xml:space="preserve">  2189</t>
  </si>
  <si>
    <t xml:space="preserve">  2192</t>
  </si>
  <si>
    <t xml:space="preserve">  2195</t>
  </si>
  <si>
    <t xml:space="preserve">  2196</t>
  </si>
  <si>
    <t>UNIDAD 43</t>
  </si>
  <si>
    <t>AF162NX</t>
  </si>
  <si>
    <t>AF150NJ</t>
  </si>
  <si>
    <t>BEVACQUA GUSTAVO</t>
  </si>
  <si>
    <t>UNIDAD 15</t>
  </si>
  <si>
    <t>MAX 511</t>
  </si>
  <si>
    <t>HBE323</t>
  </si>
  <si>
    <t>UNIDAD 28</t>
  </si>
  <si>
    <t>NYN 892</t>
  </si>
  <si>
    <t>KHO070</t>
  </si>
  <si>
    <t>UNIDAD 33</t>
  </si>
  <si>
    <t>JRO854</t>
  </si>
  <si>
    <t>UNIDAD 66</t>
  </si>
  <si>
    <t>OAQ861</t>
  </si>
  <si>
    <t>LCJ 743</t>
  </si>
  <si>
    <t>HALDMAYER JAVIER</t>
  </si>
  <si>
    <t>UNIDAD 65</t>
  </si>
  <si>
    <t>AD979KI</t>
  </si>
  <si>
    <t>LCJ 748</t>
  </si>
  <si>
    <t>DI STEFANO MAXIMILIANO</t>
  </si>
  <si>
    <t>EN VIAJE</t>
  </si>
  <si>
    <t>REPARACION</t>
  </si>
  <si>
    <t>SATELITAL</t>
  </si>
  <si>
    <t>FRANCO CHOFER</t>
  </si>
  <si>
    <t>AE668YA</t>
  </si>
  <si>
    <t>GEREZ DANIEL OSCAR</t>
  </si>
  <si>
    <t xml:space="preserve">   930</t>
  </si>
  <si>
    <t>SALDAÑA MAURICIO ARIEL</t>
  </si>
  <si>
    <t xml:space="preserve">  1166</t>
  </si>
  <si>
    <t>SERVIN GUSTAVO DANIEL</t>
  </si>
  <si>
    <t xml:space="preserve">  1274</t>
  </si>
  <si>
    <t>POLVERINI OSCAR ALBERTO</t>
  </si>
  <si>
    <t xml:space="preserve">  1512</t>
  </si>
  <si>
    <t>GONZALEZ JACOBO ALEJANDRO</t>
  </si>
  <si>
    <t xml:space="preserve">  2261</t>
  </si>
  <si>
    <t>PALOS JULIO RICARDO</t>
  </si>
  <si>
    <t xml:space="preserve">  2271</t>
  </si>
  <si>
    <t>VIVES GUILLERMO JUAN CARLOS</t>
  </si>
  <si>
    <t xml:space="preserve">  2273</t>
  </si>
  <si>
    <t>USTARI FEDERICO MARIANO</t>
  </si>
  <si>
    <t xml:space="preserve">  2278</t>
  </si>
  <si>
    <t>GAUNA CESAR ANTONIO</t>
  </si>
  <si>
    <t xml:space="preserve">  2293</t>
  </si>
  <si>
    <t>REALE PRESA ALEJANDRO DANIEL</t>
  </si>
  <si>
    <t xml:space="preserve">  2260</t>
  </si>
  <si>
    <t>AF420WF</t>
  </si>
  <si>
    <t>NLO983</t>
  </si>
  <si>
    <t xml:space="preserve">  2215</t>
  </si>
  <si>
    <t xml:space="preserve">  2246</t>
  </si>
  <si>
    <t xml:space="preserve">   904</t>
  </si>
  <si>
    <t>REGUEIRO MARTIN ADRIAN</t>
  </si>
  <si>
    <t>DIAZ SERGIO MANUEL</t>
  </si>
  <si>
    <t>RODRIGUEZ JONATHAN ALBERTO</t>
  </si>
  <si>
    <t>ALBORNOZ PABLO DANIEL ELIAS</t>
  </si>
  <si>
    <t xml:space="preserve">  1203</t>
  </si>
  <si>
    <t xml:space="preserve">  2301</t>
  </si>
  <si>
    <t xml:space="preserve">  2302</t>
  </si>
  <si>
    <t xml:space="preserve">  2311</t>
  </si>
  <si>
    <t>TRINDADES RAUL CRISTOBAL</t>
  </si>
  <si>
    <t xml:space="preserve">  2320</t>
  </si>
  <si>
    <t>LOARTE LUCAS</t>
  </si>
  <si>
    <t xml:space="preserve">  1027</t>
  </si>
  <si>
    <t>PALMA, GERARDO DEL VALLE</t>
  </si>
  <si>
    <t xml:space="preserve">  1807</t>
  </si>
  <si>
    <t>UNIDAD 126</t>
  </si>
  <si>
    <t>KSJ191</t>
  </si>
  <si>
    <t>IOI-084</t>
  </si>
  <si>
    <t>AF677RC</t>
  </si>
  <si>
    <t>Servicio</t>
  </si>
  <si>
    <t>CIF</t>
  </si>
  <si>
    <t>BALBO, JORGE ERASMO</t>
  </si>
  <si>
    <t xml:space="preserve">  1962</t>
  </si>
  <si>
    <t>CARRIZO, FRANCO MATIAS</t>
  </si>
  <si>
    <t xml:space="preserve">  1858</t>
  </si>
  <si>
    <t>AGUILERA ESTEBAN EZEQUIEL</t>
  </si>
  <si>
    <t xml:space="preserve">  2332</t>
  </si>
  <si>
    <t>ARRESEYGOR VICTOR MARCELO</t>
  </si>
  <si>
    <t xml:space="preserve">  2334</t>
  </si>
  <si>
    <t xml:space="preserve">VIERNES </t>
  </si>
  <si>
    <t>AF832WD</t>
  </si>
  <si>
    <t>DNI mañana</t>
  </si>
  <si>
    <t>DNI tarde</t>
  </si>
  <si>
    <t>Idestado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</si>
</sst>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2C0A]hh:mm:ss\ AM/PM;@"/>
    <numFmt numFmtId="165" formatCode="#,##0_ ;\-#,##0\ "/>
  </numFmts>
  <fonts count="2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7.7"/>
      <color indexed="12"/>
      <name val="Calibri"/>
      <family val="2"/>
    </font>
    <font>
      <sz val="8"/>
      <color indexed="8"/>
      <name val="Calibri"/>
      <family val="2"/>
    </font>
    <font>
      <b/>
      <sz val="8"/>
      <color indexed="8"/>
      <name val="Calibri"/>
      <family val="2"/>
    </font>
    <font>
      <sz val="8"/>
      <color indexed="8"/>
      <name val="Arial"/>
      <family val="2"/>
    </font>
    <font>
      <sz val="8"/>
      <color indexed="9"/>
      <name val="Calibri"/>
      <family val="2"/>
    </font>
    <font>
      <b/>
      <sz val="8"/>
      <color indexed="9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"/>
      <name val="Arial"/>
      <family val="2"/>
    </font>
    <font>
      <b/>
      <sz val="9"/>
      <color indexed="8"/>
      <name val="Calibri"/>
      <family val="2"/>
    </font>
    <font>
      <sz val="8"/>
      <color theme="1"/>
      <name val="Calibri"/>
      <family val="2"/>
      <scheme val="minor"/>
    </font>
    <font>
      <sz val="8"/>
      <color theme="1"/>
      <name val="Arial"/>
      <family val="2"/>
    </font>
    <font>
      <b/>
      <sz val="10"/>
      <color theme="1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8"/>
      <name val="Arial"/>
      <family val="2"/>
    </font>
    <font>
      <b/>
      <sz val="11"/>
      <color theme="1"/>
      <name val="Calibri"/>
      <family val="2"/>
      <scheme val="minor"/>
    </font>
    <font>
      <b/>
      <sz val="8"/>
      <color theme="1"/>
      <name val="Arial"/>
      <family val="2"/>
    </font>
    <font>
      <sz val="8"/>
      <color rgb="FF242424"/>
      <name val="Segoe UI"/>
      <family val="2"/>
    </font>
    <font>
      <sz val="8"/>
      <color rgb="FF000000"/>
      <name val="Segoe UI"/>
      <family val="2"/>
    </font>
    <font>
      <b/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0"/>
      <color theme="1"/>
      <name val="Cambria"/>
      <family val="1"/>
      <scheme val="major"/>
    </font>
    <font>
      <b/>
      <sz val="11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rgb="FFD1D1D1"/>
      </left>
      <right style="medium">
        <color rgb="FFD1D1D1"/>
      </right>
      <top style="medium">
        <color rgb="FFD1D1D1"/>
      </top>
      <bottom style="medium">
        <color rgb="FFD1D1D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58">
    <xf numFmtId="0" fontId="0" fillId="0" borderId="0" xfId="0"/>
    <xf numFmtId="0" fontId="13" fillId="0" borderId="0" xfId="0" applyFont="1"/>
    <xf numFmtId="0" fontId="5" fillId="0" borderId="1" xfId="0" applyFont="1" applyBorder="1"/>
    <xf numFmtId="0" fontId="13" fillId="2" borderId="2" xfId="0" applyFont="1" applyFill="1" applyBorder="1" applyAlignment="1">
      <alignment horizontal="left"/>
    </xf>
    <xf numFmtId="0" fontId="13" fillId="2" borderId="3" xfId="0" applyFont="1" applyFill="1" applyBorder="1"/>
    <xf numFmtId="0" fontId="13" fillId="2" borderId="4" xfId="0" applyFont="1" applyFill="1" applyBorder="1"/>
    <xf numFmtId="0" fontId="13" fillId="2" borderId="5" xfId="0" applyFont="1" applyFill="1" applyBorder="1" applyAlignment="1">
      <alignment horizontal="left"/>
    </xf>
    <xf numFmtId="0" fontId="13" fillId="2" borderId="0" xfId="0" applyFont="1" applyFill="1"/>
    <xf numFmtId="0" fontId="13" fillId="2" borderId="6" xfId="0" applyFont="1" applyFill="1" applyBorder="1"/>
    <xf numFmtId="0" fontId="8" fillId="3" borderId="7" xfId="0" applyFont="1" applyFill="1" applyBorder="1" applyAlignment="1">
      <alignment horizontal="center"/>
    </xf>
    <xf numFmtId="0" fontId="3" fillId="0" borderId="0" xfId="0" applyFont="1"/>
    <xf numFmtId="0" fontId="4" fillId="2" borderId="3" xfId="0" applyFont="1" applyFill="1" applyBorder="1"/>
    <xf numFmtId="0" fontId="7" fillId="3" borderId="7" xfId="0" applyFont="1" applyFill="1" applyBorder="1" applyAlignment="1">
      <alignment horizontal="center"/>
    </xf>
    <xf numFmtId="14" fontId="12" fillId="0" borderId="1" xfId="0" applyNumberFormat="1" applyFont="1" applyBorder="1" applyAlignment="1">
      <alignment horizontal="center"/>
    </xf>
    <xf numFmtId="0" fontId="15" fillId="0" borderId="0" xfId="0" applyFont="1"/>
    <xf numFmtId="14" fontId="15" fillId="0" borderId="0" xfId="0" applyNumberFormat="1" applyFont="1" applyAlignment="1">
      <alignment horizontal="center" vertical="center"/>
    </xf>
    <xf numFmtId="0" fontId="16" fillId="3" borderId="7" xfId="0" applyFont="1" applyFill="1" applyBorder="1" applyAlignment="1">
      <alignment horizontal="center"/>
    </xf>
    <xf numFmtId="14" fontId="18" fillId="5" borderId="9" xfId="0" applyNumberFormat="1" applyFont="1" applyFill="1" applyBorder="1" applyAlignment="1">
      <alignment horizontal="center" vertical="center"/>
    </xf>
    <xf numFmtId="0" fontId="9" fillId="4" borderId="7" xfId="0" applyFont="1" applyFill="1" applyBorder="1" applyAlignment="1" applyProtection="1">
      <alignment vertical="center"/>
      <protection locked="0"/>
    </xf>
    <xf numFmtId="165" fontId="10" fillId="4" borderId="7" xfId="0" applyNumberFormat="1" applyFont="1" applyFill="1" applyBorder="1" applyAlignment="1" applyProtection="1">
      <alignment horizontal="center" vertical="center"/>
      <protection locked="0"/>
    </xf>
    <xf numFmtId="0" fontId="11" fillId="4" borderId="7" xfId="0" applyFont="1" applyFill="1" applyBorder="1" applyAlignment="1" applyProtection="1">
      <alignment horizontal="center" vertical="center"/>
      <protection locked="0"/>
    </xf>
    <xf numFmtId="0" fontId="10" fillId="4" borderId="7" xfId="0" applyFont="1" applyFill="1" applyBorder="1" applyAlignment="1" applyProtection="1">
      <alignment horizontal="center" vertical="center"/>
      <protection locked="0"/>
    </xf>
    <xf numFmtId="0" fontId="9" fillId="4" borderId="7" xfId="0" applyFont="1" applyFill="1" applyBorder="1" applyAlignment="1" applyProtection="1">
      <alignment horizontal="center" vertical="center"/>
      <protection locked="0"/>
    </xf>
    <xf numFmtId="0" fontId="6" fillId="4" borderId="7" xfId="0" applyFont="1" applyFill="1" applyBorder="1" applyAlignment="1" applyProtection="1">
      <alignment horizontal="center" vertical="center"/>
      <protection locked="0"/>
    </xf>
    <xf numFmtId="0" fontId="9" fillId="4" borderId="7" xfId="0" applyFont="1" applyFill="1" applyBorder="1" applyAlignment="1">
      <alignment vertical="center"/>
    </xf>
    <xf numFmtId="165" fontId="10" fillId="4" borderId="7" xfId="0" applyNumberFormat="1" applyFont="1" applyFill="1" applyBorder="1" applyAlignment="1">
      <alignment horizontal="center" vertical="center"/>
    </xf>
    <xf numFmtId="0" fontId="19" fillId="4" borderId="7" xfId="0" applyFont="1" applyFill="1" applyBorder="1" applyAlignment="1">
      <alignment horizontal="center" vertical="center"/>
    </xf>
    <xf numFmtId="0" fontId="10" fillId="4" borderId="7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3" fontId="10" fillId="4" borderId="7" xfId="0" applyNumberFormat="1" applyFont="1" applyFill="1" applyBorder="1" applyAlignment="1" applyProtection="1">
      <alignment horizontal="center" vertical="center"/>
      <protection locked="0"/>
    </xf>
    <xf numFmtId="0" fontId="9" fillId="4" borderId="7" xfId="0" applyFont="1" applyFill="1" applyBorder="1" applyAlignment="1" applyProtection="1">
      <alignment horizontal="left" vertical="center"/>
      <protection locked="0"/>
    </xf>
    <xf numFmtId="0" fontId="18" fillId="4" borderId="7" xfId="0" applyFont="1" applyFill="1" applyBorder="1" applyAlignment="1">
      <alignment horizontal="center"/>
    </xf>
    <xf numFmtId="0" fontId="8" fillId="3" borderId="0" xfId="0" applyFont="1" applyFill="1" applyAlignment="1">
      <alignment horizontal="center"/>
    </xf>
    <xf numFmtId="49" fontId="0" fillId="0" borderId="0" xfId="0" applyNumberFormat="1"/>
    <xf numFmtId="0" fontId="13" fillId="4" borderId="0" xfId="0" applyFont="1" applyFill="1"/>
    <xf numFmtId="0" fontId="13" fillId="5" borderId="0" xfId="0" applyFont="1" applyFill="1"/>
    <xf numFmtId="165" fontId="10" fillId="4" borderId="8" xfId="0" applyNumberFormat="1" applyFont="1" applyFill="1" applyBorder="1" applyAlignment="1" applyProtection="1">
      <alignment horizontal="center" vertical="center"/>
      <protection locked="0"/>
    </xf>
    <xf numFmtId="0" fontId="9" fillId="4" borderId="11" xfId="0" applyFont="1" applyFill="1" applyBorder="1" applyAlignment="1" applyProtection="1">
      <alignment horizontal="center" vertical="center"/>
      <protection locked="0"/>
    </xf>
    <xf numFmtId="165" fontId="10" fillId="4" borderId="8" xfId="0" applyNumberFormat="1" applyFont="1" applyFill="1" applyBorder="1" applyAlignment="1">
      <alignment horizontal="center" vertical="center"/>
    </xf>
    <xf numFmtId="0" fontId="18" fillId="0" borderId="9" xfId="0" applyFont="1" applyBorder="1" applyAlignment="1">
      <alignment horizontal="center"/>
    </xf>
    <xf numFmtId="0" fontId="18" fillId="0" borderId="12" xfId="0" applyFont="1" applyBorder="1" applyAlignment="1">
      <alignment horizontal="center"/>
    </xf>
    <xf numFmtId="0" fontId="18" fillId="0" borderId="13" xfId="0" applyFont="1" applyBorder="1" applyAlignment="1">
      <alignment horizontal="center"/>
    </xf>
    <xf numFmtId="0" fontId="20" fillId="4" borderId="10" xfId="0" applyFont="1" applyFill="1" applyBorder="1" applyAlignment="1">
      <alignment vertical="center" wrapText="1"/>
    </xf>
    <xf numFmtId="164" fontId="17" fillId="4" borderId="7" xfId="0" applyNumberFormat="1" applyFont="1" applyFill="1" applyBorder="1" applyAlignment="1" applyProtection="1">
      <alignment horizontal="left" vertical="center"/>
      <protection locked="0"/>
    </xf>
    <xf numFmtId="0" fontId="21" fillId="4" borderId="10" xfId="0" applyFont="1" applyFill="1" applyBorder="1" applyAlignment="1">
      <alignment vertical="center" wrapText="1"/>
    </xf>
    <xf numFmtId="0" fontId="22" fillId="4" borderId="7" xfId="0" applyFont="1" applyFill="1" applyBorder="1" applyAlignment="1">
      <alignment horizontal="center" vertical="center"/>
    </xf>
    <xf numFmtId="20" fontId="11" fillId="4" borderId="7" xfId="0" applyNumberFormat="1" applyFont="1" applyFill="1" applyBorder="1" applyAlignment="1" applyProtection="1">
      <alignment horizontal="center" vertical="center"/>
      <protection locked="0"/>
    </xf>
    <xf numFmtId="0" fontId="14" fillId="4" borderId="0" xfId="0" applyFont="1" applyFill="1" applyAlignment="1">
      <alignment vertical="center"/>
    </xf>
    <xf numFmtId="0" fontId="23" fillId="4" borderId="7" xfId="0" applyFont="1" applyFill="1" applyBorder="1" applyAlignment="1">
      <alignment horizontal="center" vertical="center"/>
    </xf>
    <xf numFmtId="0" fontId="8" fillId="3" borderId="14" xfId="0" applyFont="1" applyFill="1" applyBorder="1" applyAlignment="1">
      <alignment horizontal="center"/>
    </xf>
    <xf numFmtId="0" fontId="14" fillId="4" borderId="7" xfId="0" applyFont="1" applyFill="1" applyBorder="1" applyAlignment="1" applyProtection="1">
      <alignment vertical="center"/>
      <protection locked="0"/>
    </xf>
    <xf numFmtId="0" fontId="13" fillId="4" borderId="7" xfId="0" applyFont="1" applyFill="1" applyBorder="1"/>
    <xf numFmtId="0" fontId="11" fillId="6" borderId="7" xfId="0" applyFont="1" applyFill="1" applyBorder="1" applyAlignment="1" applyProtection="1">
      <alignment horizontal="center" vertical="center"/>
      <protection locked="0"/>
    </xf>
    <xf numFmtId="0" fontId="24" fillId="4" borderId="7" xfId="0" applyFont="1" applyFill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13" fillId="0" borderId="0" xfId="0" applyFont="1" applyAlignment="1">
      <alignment horizontal="center"/>
    </xf>
    <xf numFmtId="0" fontId="14" fillId="4" borderId="7" xfId="0" applyFont="1" applyFill="1" applyBorder="1" applyAlignment="1" applyProtection="1">
      <alignment horizontal="center" vertical="center"/>
      <protection locked="0"/>
    </xf>
    <xf numFmtId="0" fontId="25" fillId="0" borderId="0" xfId="0" applyFont="1"/>
  </cellXfs>
  <cellStyles count="3">
    <cellStyle name="_x000e_" xfId="1" xr:uid="{00000000-0005-0000-0000-000000000000}"/>
    <cellStyle name="Normal" xfId="0" builtinId="0"/>
    <cellStyle name="Normal 2" xfId="2" xr:uid="{00000000-0005-0000-0000-000002000000}"/>
  </cellStyles>
  <dxfs count="82"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</dxfs>
  <tableStyles count="0" defaultTableStyle="TableStyleMedium9" defaultPivotStyle="PivotStyleLight16"/>
  <colors>
    <mruColors>
      <color rgb="FFEB1B8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38100</xdr:rowOff>
    </xdr:from>
    <xdr:to>
      <xdr:col>7</xdr:col>
      <xdr:colOff>750276</xdr:colOff>
      <xdr:row>4</xdr:row>
      <xdr:rowOff>65071</xdr:rowOff>
    </xdr:to>
    <xdr:pic>
      <xdr:nvPicPr>
        <xdr:cNvPr id="27823" name="Picture 2">
          <a:extLst>
            <a:ext uri="{FF2B5EF4-FFF2-40B4-BE49-F238E27FC236}">
              <a16:creationId xmlns:a16="http://schemas.microsoft.com/office/drawing/2014/main" id="{D8751988-EB22-4962-9743-4DCC0F8974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206188"/>
          <a:ext cx="1562660" cy="5939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G377"/>
  <sheetViews>
    <sheetView topLeftCell="T1" workbookViewId="0">
      <pane ySplit="1" topLeftCell="A92" activePane="bottomLeft" state="frozen"/>
      <selection pane="bottomLeft" activeCell="AF92" sqref="AF92"/>
    </sheetView>
  </sheetViews>
  <sheetFormatPr baseColWidth="10" defaultColWidth="9.140625" defaultRowHeight="15" x14ac:dyDescent="0.25"/>
  <cols>
    <col min="1" max="1" width="10.42578125" style="33" customWidth="1"/>
    <col min="2" max="2" width="21.5703125" customWidth="1"/>
    <col min="3" max="5" width="15.85546875" customWidth="1"/>
    <col min="6" max="6" width="16.7109375" customWidth="1"/>
    <col min="7" max="8" width="9.140625" customWidth="1"/>
    <col min="9" max="9" width="16.5703125" customWidth="1"/>
    <col min="10" max="10" width="12.5703125" customWidth="1"/>
    <col min="11" max="11" width="13.42578125" customWidth="1"/>
    <col min="12" max="12" width="9.42578125" customWidth="1"/>
    <col min="13" max="13" width="30.7109375" customWidth="1"/>
    <col min="14" max="14" width="27" customWidth="1"/>
    <col min="15" max="15" width="16.5703125" customWidth="1"/>
    <col min="16" max="16" width="16.42578125" customWidth="1"/>
    <col min="17" max="17" width="13.7109375" customWidth="1"/>
    <col min="18" max="18" width="11.7109375" customWidth="1"/>
    <col min="19" max="19" width="12.7109375" customWidth="1"/>
    <col min="20" max="20" width="63.85546875" bestFit="1" customWidth="1"/>
    <col min="21" max="21" width="14.140625" customWidth="1"/>
    <col min="22" max="22" width="11" bestFit="1" customWidth="1"/>
    <col min="23" max="23" width="16.42578125" customWidth="1"/>
    <col min="24" max="24" width="11.28515625" customWidth="1"/>
    <col min="25" max="25" width="14.140625" customWidth="1"/>
    <col min="26" max="26" width="9.140625" customWidth="1"/>
    <col min="27" max="27" width="11" customWidth="1"/>
    <col min="28" max="28" width="9.140625" customWidth="1"/>
    <col min="29" max="29" width="24.140625" bestFit="1" customWidth="1"/>
    <col min="30" max="30" width="10.7109375" customWidth="1"/>
    <col min="31" max="31" width="22.5703125" customWidth="1"/>
  </cols>
  <sheetData>
    <row r="1" spans="1:33" ht="23.25" customHeight="1" x14ac:dyDescent="0.25">
      <c r="A1" s="33" t="s">
        <v>525</v>
      </c>
      <c r="B1" s="33" t="s">
        <v>526</v>
      </c>
      <c r="C1" s="33" t="s">
        <v>527</v>
      </c>
      <c r="D1" s="33" t="s">
        <v>528</v>
      </c>
      <c r="E1" s="33" t="s">
        <v>529</v>
      </c>
      <c r="F1" s="33" t="s">
        <v>530</v>
      </c>
      <c r="G1" s="33" t="s">
        <v>531</v>
      </c>
      <c r="H1" s="33" t="s">
        <v>532</v>
      </c>
      <c r="I1" s="33" t="s">
        <v>533</v>
      </c>
      <c r="J1" s="33" t="s">
        <v>534</v>
      </c>
      <c r="K1" s="33" t="s">
        <v>535</v>
      </c>
      <c r="L1" s="33" t="s">
        <v>536</v>
      </c>
      <c r="M1" s="33" t="s">
        <v>537</v>
      </c>
      <c r="N1" s="33" t="s">
        <v>538</v>
      </c>
      <c r="O1" s="33" t="s">
        <v>539</v>
      </c>
      <c r="P1" s="33" t="s">
        <v>540</v>
      </c>
      <c r="Q1" s="33" t="s">
        <v>541</v>
      </c>
      <c r="R1" s="33" t="s">
        <v>542</v>
      </c>
      <c r="S1" s="33" t="s">
        <v>543</v>
      </c>
      <c r="T1" s="33" t="s">
        <v>544</v>
      </c>
      <c r="U1" s="33" t="s">
        <v>545</v>
      </c>
      <c r="V1" s="33" t="s">
        <v>546</v>
      </c>
      <c r="W1" s="33" t="s">
        <v>540</v>
      </c>
      <c r="X1" s="33" t="s">
        <v>547</v>
      </c>
      <c r="Y1" s="33" t="s">
        <v>548</v>
      </c>
      <c r="Z1" s="33" t="s">
        <v>549</v>
      </c>
      <c r="AA1" s="33" t="s">
        <v>550</v>
      </c>
      <c r="AB1" s="33" t="s">
        <v>551</v>
      </c>
      <c r="AC1" s="33" t="s">
        <v>552</v>
      </c>
      <c r="AD1" s="33" t="s">
        <v>553</v>
      </c>
      <c r="AE1" s="33" t="s">
        <v>554</v>
      </c>
      <c r="AF1" s="33" t="s">
        <v>1513</v>
      </c>
      <c r="AG1" s="33" t="s">
        <v>1514</v>
      </c>
    </row>
    <row r="2" spans="1:33" x14ac:dyDescent="0.25">
      <c r="A2" s="33" t="s">
        <v>555</v>
      </c>
      <c r="B2" t="s">
        <v>497</v>
      </c>
      <c r="C2" t="s">
        <v>556</v>
      </c>
      <c r="D2" t="s">
        <v>557</v>
      </c>
      <c r="E2" t="s">
        <v>558</v>
      </c>
      <c r="F2" t="s">
        <v>559</v>
      </c>
      <c r="G2" t="s">
        <v>560</v>
      </c>
      <c r="H2" t="s">
        <v>561</v>
      </c>
      <c r="I2" t="s">
        <v>562</v>
      </c>
      <c r="L2" t="s">
        <v>563</v>
      </c>
      <c r="M2" t="s">
        <v>564</v>
      </c>
      <c r="N2" t="s">
        <v>565</v>
      </c>
      <c r="O2" t="s">
        <v>566</v>
      </c>
      <c r="P2" t="s">
        <v>567</v>
      </c>
      <c r="Q2" t="s">
        <v>568</v>
      </c>
      <c r="R2" t="s">
        <v>568</v>
      </c>
      <c r="S2" t="s">
        <v>569</v>
      </c>
      <c r="T2" t="s">
        <v>570</v>
      </c>
      <c r="U2" t="s">
        <v>571</v>
      </c>
      <c r="V2" t="s">
        <v>572</v>
      </c>
      <c r="W2" t="s">
        <v>573</v>
      </c>
      <c r="X2" t="s">
        <v>564</v>
      </c>
      <c r="Y2" t="s">
        <v>574</v>
      </c>
      <c r="Z2" t="s">
        <v>574</v>
      </c>
      <c r="AA2" t="s">
        <v>565</v>
      </c>
      <c r="AB2" t="s">
        <v>575</v>
      </c>
      <c r="AC2" t="s">
        <v>576</v>
      </c>
      <c r="AD2" t="s">
        <v>568</v>
      </c>
      <c r="AE2" t="s">
        <v>577</v>
      </c>
      <c r="AF2" t="str">
        <f>IF(AND(HOUR(O2)&gt;=1,HOUR(O2)&lt;=13),VLOOKUP(B2,Programacion!$A$8:$S$1048576,16,FALSE),VLOOKUP(B2,Programacion!$A$8:$S$1048576,18,FALSE))</f>
        <v xml:space="preserve">  1188</v>
      </c>
      <c r="AG2" t="str">
        <f>IF(AND(HOUR(O2)&gt;=1,HOUR(O2)&lt;=13),VLOOKUP(B2,Programacion!$A$8:$S$1048576,17,FALSE),VLOOKUP(B2,Programacion!$A$8:$S$1048576,19,FALSE))</f>
        <v>GB01</v>
      </c>
    </row>
    <row r="3" spans="1:33" x14ac:dyDescent="0.25">
      <c r="A3" s="33" t="s">
        <v>555</v>
      </c>
      <c r="B3" t="s">
        <v>497</v>
      </c>
      <c r="C3" t="s">
        <v>556</v>
      </c>
      <c r="D3" t="s">
        <v>557</v>
      </c>
      <c r="E3" t="s">
        <v>558</v>
      </c>
      <c r="F3" t="s">
        <v>578</v>
      </c>
      <c r="G3" t="s">
        <v>560</v>
      </c>
      <c r="H3" t="s">
        <v>561</v>
      </c>
      <c r="I3" t="s">
        <v>579</v>
      </c>
      <c r="L3" t="s">
        <v>580</v>
      </c>
      <c r="M3" t="s">
        <v>564</v>
      </c>
      <c r="N3" t="s">
        <v>573</v>
      </c>
      <c r="O3" t="s">
        <v>581</v>
      </c>
      <c r="P3" t="s">
        <v>582</v>
      </c>
      <c r="Q3" t="s">
        <v>568</v>
      </c>
      <c r="R3" t="s">
        <v>568</v>
      </c>
      <c r="S3" t="s">
        <v>569</v>
      </c>
      <c r="T3" t="s">
        <v>583</v>
      </c>
      <c r="U3" t="s">
        <v>584</v>
      </c>
      <c r="V3" t="s">
        <v>585</v>
      </c>
      <c r="W3" t="s">
        <v>586</v>
      </c>
      <c r="X3" t="s">
        <v>564</v>
      </c>
      <c r="Y3" t="s">
        <v>574</v>
      </c>
      <c r="Z3" t="s">
        <v>574</v>
      </c>
      <c r="AA3" t="s">
        <v>565</v>
      </c>
      <c r="AB3" t="s">
        <v>587</v>
      </c>
      <c r="AC3" t="s">
        <v>588</v>
      </c>
      <c r="AD3" t="s">
        <v>589</v>
      </c>
      <c r="AE3" t="s">
        <v>590</v>
      </c>
      <c r="AF3" t="str">
        <f>IF(AND(HOUR(O3)&gt;=1,HOUR(O3)&lt;=13),VLOOKUP(B3,Programacion!$A$8:$S$1048576,16,FALSE),VLOOKUP(B3,Programacion!$A$8:$S$1048576,18,FALSE))</f>
        <v xml:space="preserve">  1188</v>
      </c>
      <c r="AG3" t="str">
        <f>IF(AND(HOUR(O3)&gt;=1,HOUR(O3)&lt;=13),VLOOKUP(B3,Programacion!$A$8:$S$1048576,17,FALSE),VLOOKUP(B3,Programacion!$A$8:$S$1048576,19,FALSE))</f>
        <v>GB01</v>
      </c>
    </row>
    <row r="4" spans="1:33" x14ac:dyDescent="0.25">
      <c r="A4" s="33" t="s">
        <v>555</v>
      </c>
      <c r="B4" t="s">
        <v>497</v>
      </c>
      <c r="C4" t="s">
        <v>556</v>
      </c>
      <c r="D4" t="s">
        <v>557</v>
      </c>
      <c r="E4" t="s">
        <v>558</v>
      </c>
      <c r="F4" t="s">
        <v>578</v>
      </c>
      <c r="G4" t="s">
        <v>560</v>
      </c>
      <c r="H4" t="s">
        <v>561</v>
      </c>
      <c r="I4" t="s">
        <v>579</v>
      </c>
      <c r="L4" t="s">
        <v>580</v>
      </c>
      <c r="M4" t="s">
        <v>564</v>
      </c>
      <c r="N4" t="s">
        <v>573</v>
      </c>
      <c r="O4" t="s">
        <v>581</v>
      </c>
      <c r="P4" t="s">
        <v>582</v>
      </c>
      <c r="Q4" t="s">
        <v>568</v>
      </c>
      <c r="R4" t="s">
        <v>568</v>
      </c>
      <c r="S4" t="s">
        <v>569</v>
      </c>
      <c r="T4" t="s">
        <v>591</v>
      </c>
      <c r="U4" t="s">
        <v>592</v>
      </c>
      <c r="V4" t="s">
        <v>593</v>
      </c>
      <c r="W4" t="s">
        <v>594</v>
      </c>
      <c r="X4" t="s">
        <v>564</v>
      </c>
      <c r="Y4" t="s">
        <v>574</v>
      </c>
      <c r="Z4" t="s">
        <v>574</v>
      </c>
      <c r="AA4" t="s">
        <v>565</v>
      </c>
      <c r="AB4" t="s">
        <v>595</v>
      </c>
      <c r="AC4" t="s">
        <v>596</v>
      </c>
      <c r="AD4" t="s">
        <v>589</v>
      </c>
      <c r="AE4" t="s">
        <v>597</v>
      </c>
      <c r="AF4" t="str">
        <f>IF(AND(HOUR(O4)&gt;=1,HOUR(O4)&lt;=13),VLOOKUP(B4,Programacion!$A$8:$S$1048576,16,FALSE),VLOOKUP(B4,Programacion!$A$8:$S$1048576,18,FALSE))</f>
        <v xml:space="preserve">  1188</v>
      </c>
      <c r="AG4" t="str">
        <f>IF(AND(HOUR(O4)&gt;=1,HOUR(O4)&lt;=13),VLOOKUP(B4,Programacion!$A$8:$S$1048576,17,FALSE),VLOOKUP(B4,Programacion!$A$8:$S$1048576,19,FALSE))</f>
        <v>GB01</v>
      </c>
    </row>
    <row r="5" spans="1:33" x14ac:dyDescent="0.25">
      <c r="A5" s="33" t="s">
        <v>555</v>
      </c>
      <c r="B5" t="s">
        <v>497</v>
      </c>
      <c r="C5" t="s">
        <v>556</v>
      </c>
      <c r="D5" t="s">
        <v>557</v>
      </c>
      <c r="E5" t="s">
        <v>558</v>
      </c>
      <c r="F5" t="s">
        <v>578</v>
      </c>
      <c r="G5" t="s">
        <v>560</v>
      </c>
      <c r="H5" t="s">
        <v>561</v>
      </c>
      <c r="I5" t="s">
        <v>579</v>
      </c>
      <c r="L5" t="s">
        <v>580</v>
      </c>
      <c r="M5" t="s">
        <v>564</v>
      </c>
      <c r="N5" t="s">
        <v>573</v>
      </c>
      <c r="O5" t="s">
        <v>581</v>
      </c>
      <c r="P5" t="s">
        <v>582</v>
      </c>
      <c r="Q5" t="s">
        <v>568</v>
      </c>
      <c r="R5" t="s">
        <v>568</v>
      </c>
      <c r="S5" t="s">
        <v>569</v>
      </c>
      <c r="T5" t="s">
        <v>591</v>
      </c>
      <c r="U5" t="s">
        <v>592</v>
      </c>
      <c r="V5" t="s">
        <v>593</v>
      </c>
      <c r="W5" t="s">
        <v>594</v>
      </c>
      <c r="X5" t="s">
        <v>564</v>
      </c>
      <c r="Y5" t="s">
        <v>574</v>
      </c>
      <c r="Z5" t="s">
        <v>574</v>
      </c>
      <c r="AA5" t="s">
        <v>565</v>
      </c>
      <c r="AB5" t="s">
        <v>595</v>
      </c>
      <c r="AC5" t="s">
        <v>598</v>
      </c>
      <c r="AD5" t="s">
        <v>599</v>
      </c>
      <c r="AE5" t="s">
        <v>600</v>
      </c>
      <c r="AF5" t="str">
        <f>IF(AND(HOUR(O5)&gt;=1,HOUR(O5)&lt;=13),VLOOKUP(B5,Programacion!$A$8:$S$1048576,16,FALSE),VLOOKUP(B5,Programacion!$A$8:$S$1048576,18,FALSE))</f>
        <v xml:space="preserve">  1188</v>
      </c>
      <c r="AG5" t="str">
        <f>IF(AND(HOUR(O5)&gt;=1,HOUR(O5)&lt;=13),VLOOKUP(B5,Programacion!$A$8:$S$1048576,17,FALSE),VLOOKUP(B5,Programacion!$A$8:$S$1048576,19,FALSE))</f>
        <v>GB01</v>
      </c>
    </row>
    <row r="6" spans="1:33" x14ac:dyDescent="0.25">
      <c r="A6" s="33" t="s">
        <v>555</v>
      </c>
      <c r="B6" t="s">
        <v>497</v>
      </c>
      <c r="C6" t="s">
        <v>556</v>
      </c>
      <c r="D6" t="s">
        <v>557</v>
      </c>
      <c r="E6" t="s">
        <v>558</v>
      </c>
      <c r="F6" t="s">
        <v>601</v>
      </c>
      <c r="G6" t="s">
        <v>560</v>
      </c>
      <c r="H6" t="s">
        <v>561</v>
      </c>
      <c r="I6" t="s">
        <v>602</v>
      </c>
      <c r="L6" t="s">
        <v>603</v>
      </c>
      <c r="M6" t="s">
        <v>564</v>
      </c>
      <c r="N6" t="s">
        <v>573</v>
      </c>
      <c r="O6" t="s">
        <v>604</v>
      </c>
      <c r="P6" t="s">
        <v>605</v>
      </c>
      <c r="Q6" t="s">
        <v>568</v>
      </c>
      <c r="R6" t="s">
        <v>568</v>
      </c>
      <c r="S6" t="s">
        <v>569</v>
      </c>
      <c r="T6" t="s">
        <v>606</v>
      </c>
      <c r="U6" t="s">
        <v>607</v>
      </c>
      <c r="V6" t="s">
        <v>608</v>
      </c>
      <c r="W6" t="s">
        <v>586</v>
      </c>
      <c r="X6" t="s">
        <v>564</v>
      </c>
      <c r="Y6" t="s">
        <v>574</v>
      </c>
      <c r="Z6" t="s">
        <v>574</v>
      </c>
      <c r="AA6" t="s">
        <v>565</v>
      </c>
      <c r="AB6" t="s">
        <v>609</v>
      </c>
      <c r="AC6" t="s">
        <v>576</v>
      </c>
      <c r="AD6" t="s">
        <v>589</v>
      </c>
      <c r="AE6" t="s">
        <v>590</v>
      </c>
      <c r="AF6" t="str">
        <f>IF(AND(HOUR(O6)&gt;=1,HOUR(O6)&lt;=13),VLOOKUP(B6,Programacion!$A$8:$S$1048576,16,FALSE),VLOOKUP(B6,Programacion!$A$8:$S$1048576,18,FALSE))</f>
        <v xml:space="preserve">  1707</v>
      </c>
      <c r="AG6" t="str">
        <f>IF(AND(HOUR(O6)&gt;=1,HOUR(O6)&lt;=13),VLOOKUP(B6,Programacion!$A$8:$S$1048576,17,FALSE),VLOOKUP(B6,Programacion!$A$8:$S$1048576,19,FALSE))</f>
        <v>GB01</v>
      </c>
    </row>
    <row r="7" spans="1:33" x14ac:dyDescent="0.25">
      <c r="A7" s="33" t="s">
        <v>555</v>
      </c>
      <c r="B7" t="s">
        <v>497</v>
      </c>
      <c r="C7" t="s">
        <v>556</v>
      </c>
      <c r="D7" t="s">
        <v>557</v>
      </c>
      <c r="E7" t="s">
        <v>558</v>
      </c>
      <c r="F7" t="s">
        <v>601</v>
      </c>
      <c r="G7" t="s">
        <v>560</v>
      </c>
      <c r="H7" t="s">
        <v>561</v>
      </c>
      <c r="I7" t="s">
        <v>602</v>
      </c>
      <c r="L7" t="s">
        <v>603</v>
      </c>
      <c r="M7" t="s">
        <v>564</v>
      </c>
      <c r="N7" t="s">
        <v>573</v>
      </c>
      <c r="O7" t="s">
        <v>604</v>
      </c>
      <c r="P7" t="s">
        <v>605</v>
      </c>
      <c r="Q7" t="s">
        <v>568</v>
      </c>
      <c r="R7" t="s">
        <v>568</v>
      </c>
      <c r="S7" t="s">
        <v>569</v>
      </c>
      <c r="T7" t="s">
        <v>606</v>
      </c>
      <c r="U7" t="s">
        <v>607</v>
      </c>
      <c r="V7" t="s">
        <v>608</v>
      </c>
      <c r="W7" t="s">
        <v>586</v>
      </c>
      <c r="X7" t="s">
        <v>564</v>
      </c>
      <c r="Y7" t="s">
        <v>574</v>
      </c>
      <c r="Z7" t="s">
        <v>574</v>
      </c>
      <c r="AA7" t="s">
        <v>565</v>
      </c>
      <c r="AB7" t="s">
        <v>609</v>
      </c>
      <c r="AC7" t="s">
        <v>588</v>
      </c>
      <c r="AD7" t="s">
        <v>599</v>
      </c>
      <c r="AE7" t="s">
        <v>600</v>
      </c>
      <c r="AF7" t="str">
        <f>IF(AND(HOUR(O7)&gt;=1,HOUR(O7)&lt;=13),VLOOKUP(B7,Programacion!$A$8:$S$1048576,16,FALSE),VLOOKUP(B7,Programacion!$A$8:$S$1048576,18,FALSE))</f>
        <v xml:space="preserve">  1707</v>
      </c>
      <c r="AG7" t="str">
        <f>IF(AND(HOUR(O7)&gt;=1,HOUR(O7)&lt;=13),VLOOKUP(B7,Programacion!$A$8:$S$1048576,17,FALSE),VLOOKUP(B7,Programacion!$A$8:$S$1048576,19,FALSE))</f>
        <v>GB01</v>
      </c>
    </row>
    <row r="8" spans="1:33" x14ac:dyDescent="0.25">
      <c r="A8" s="33" t="s">
        <v>555</v>
      </c>
      <c r="B8" t="s">
        <v>497</v>
      </c>
      <c r="C8" t="s">
        <v>556</v>
      </c>
      <c r="D8" t="s">
        <v>557</v>
      </c>
      <c r="E8" t="s">
        <v>558</v>
      </c>
      <c r="F8" t="s">
        <v>601</v>
      </c>
      <c r="G8" t="s">
        <v>560</v>
      </c>
      <c r="H8" t="s">
        <v>561</v>
      </c>
      <c r="I8" t="s">
        <v>602</v>
      </c>
      <c r="L8" t="s">
        <v>603</v>
      </c>
      <c r="M8" t="s">
        <v>564</v>
      </c>
      <c r="N8" t="s">
        <v>573</v>
      </c>
      <c r="O8" t="s">
        <v>604</v>
      </c>
      <c r="P8" t="s">
        <v>605</v>
      </c>
      <c r="Q8" t="s">
        <v>568</v>
      </c>
      <c r="R8" t="s">
        <v>568</v>
      </c>
      <c r="S8" t="s">
        <v>569</v>
      </c>
      <c r="T8" t="s">
        <v>606</v>
      </c>
      <c r="U8" t="s">
        <v>607</v>
      </c>
      <c r="V8" t="s">
        <v>608</v>
      </c>
      <c r="W8" t="s">
        <v>586</v>
      </c>
      <c r="X8" t="s">
        <v>564</v>
      </c>
      <c r="Y8" t="s">
        <v>574</v>
      </c>
      <c r="Z8" t="s">
        <v>574</v>
      </c>
      <c r="AA8" t="s">
        <v>565</v>
      </c>
      <c r="AB8" t="s">
        <v>609</v>
      </c>
      <c r="AC8" t="s">
        <v>596</v>
      </c>
      <c r="AD8" t="s">
        <v>589</v>
      </c>
      <c r="AE8" t="s">
        <v>597</v>
      </c>
      <c r="AF8" t="str">
        <f>IF(AND(HOUR(O8)&gt;=1,HOUR(O8)&lt;=13),VLOOKUP(B8,Programacion!$A$8:$S$1048576,16,FALSE),VLOOKUP(B8,Programacion!$A$8:$S$1048576,18,FALSE))</f>
        <v xml:space="preserve">  1707</v>
      </c>
      <c r="AG8" t="str">
        <f>IF(AND(HOUR(O8)&gt;=1,HOUR(O8)&lt;=13),VLOOKUP(B8,Programacion!$A$8:$S$1048576,17,FALSE),VLOOKUP(B8,Programacion!$A$8:$S$1048576,19,FALSE))</f>
        <v>GB01</v>
      </c>
    </row>
    <row r="9" spans="1:33" x14ac:dyDescent="0.25">
      <c r="A9" s="33" t="s">
        <v>555</v>
      </c>
      <c r="B9" t="s">
        <v>497</v>
      </c>
      <c r="C9" t="s">
        <v>556</v>
      </c>
      <c r="D9" t="s">
        <v>557</v>
      </c>
      <c r="E9" t="s">
        <v>558</v>
      </c>
      <c r="F9" t="s">
        <v>610</v>
      </c>
      <c r="G9" t="s">
        <v>560</v>
      </c>
      <c r="H9" t="s">
        <v>561</v>
      </c>
      <c r="I9" t="s">
        <v>611</v>
      </c>
      <c r="L9" t="s">
        <v>612</v>
      </c>
      <c r="M9" t="s">
        <v>564</v>
      </c>
      <c r="N9" t="s">
        <v>573</v>
      </c>
      <c r="O9" t="s">
        <v>613</v>
      </c>
      <c r="P9" t="s">
        <v>582</v>
      </c>
      <c r="Q9" t="s">
        <v>568</v>
      </c>
      <c r="R9" t="s">
        <v>568</v>
      </c>
      <c r="S9" t="s">
        <v>569</v>
      </c>
      <c r="T9" t="s">
        <v>614</v>
      </c>
      <c r="U9" t="s">
        <v>615</v>
      </c>
      <c r="V9" t="s">
        <v>616</v>
      </c>
      <c r="W9" t="s">
        <v>586</v>
      </c>
      <c r="X9" t="s">
        <v>564</v>
      </c>
      <c r="Y9" t="s">
        <v>574</v>
      </c>
      <c r="Z9" t="s">
        <v>574</v>
      </c>
      <c r="AA9" t="s">
        <v>565</v>
      </c>
      <c r="AB9" t="s">
        <v>617</v>
      </c>
      <c r="AC9" t="s">
        <v>596</v>
      </c>
      <c r="AD9" t="s">
        <v>589</v>
      </c>
      <c r="AE9" t="s">
        <v>597</v>
      </c>
      <c r="AF9" t="str">
        <f>IF(AND(HOUR(O9)&gt;=1,HOUR(O9)&lt;=13),VLOOKUP(B9,Programacion!$A$8:$S$1048576,16,FALSE),VLOOKUP(B9,Programacion!$A$8:$S$1048576,18,FALSE))</f>
        <v xml:space="preserve">  1707</v>
      </c>
      <c r="AG9" t="str">
        <f>IF(AND(HOUR(O9)&gt;=1,HOUR(O9)&lt;=13),VLOOKUP(B9,Programacion!$A$8:$S$1048576,17,FALSE),VLOOKUP(B9,Programacion!$A$8:$S$1048576,19,FALSE))</f>
        <v>GB01</v>
      </c>
    </row>
    <row r="10" spans="1:33" x14ac:dyDescent="0.25">
      <c r="A10" s="33" t="s">
        <v>555</v>
      </c>
      <c r="B10" t="s">
        <v>497</v>
      </c>
      <c r="C10" t="s">
        <v>556</v>
      </c>
      <c r="D10" t="s">
        <v>557</v>
      </c>
      <c r="E10" t="s">
        <v>558</v>
      </c>
      <c r="F10" t="s">
        <v>610</v>
      </c>
      <c r="G10" t="s">
        <v>560</v>
      </c>
      <c r="H10" t="s">
        <v>561</v>
      </c>
      <c r="I10" t="s">
        <v>611</v>
      </c>
      <c r="L10" t="s">
        <v>612</v>
      </c>
      <c r="M10" t="s">
        <v>564</v>
      </c>
      <c r="N10" t="s">
        <v>573</v>
      </c>
      <c r="O10" t="s">
        <v>613</v>
      </c>
      <c r="P10" t="s">
        <v>582</v>
      </c>
      <c r="Q10" t="s">
        <v>568</v>
      </c>
      <c r="R10" t="s">
        <v>568</v>
      </c>
      <c r="S10" t="s">
        <v>569</v>
      </c>
      <c r="T10" t="s">
        <v>614</v>
      </c>
      <c r="U10" t="s">
        <v>615</v>
      </c>
      <c r="V10" t="s">
        <v>616</v>
      </c>
      <c r="W10" t="s">
        <v>586</v>
      </c>
      <c r="X10" t="s">
        <v>564</v>
      </c>
      <c r="Y10" t="s">
        <v>574</v>
      </c>
      <c r="Z10" t="s">
        <v>574</v>
      </c>
      <c r="AA10" t="s">
        <v>565</v>
      </c>
      <c r="AB10" t="s">
        <v>617</v>
      </c>
      <c r="AC10" t="s">
        <v>598</v>
      </c>
      <c r="AD10" t="s">
        <v>599</v>
      </c>
      <c r="AE10" t="s">
        <v>618</v>
      </c>
      <c r="AF10" t="str">
        <f>IF(AND(HOUR(O10)&gt;=1,HOUR(O10)&lt;=13),VLOOKUP(B10,Programacion!$A$8:$S$1048576,16,FALSE),VLOOKUP(B10,Programacion!$A$8:$S$1048576,18,FALSE))</f>
        <v xml:space="preserve">  1707</v>
      </c>
      <c r="AG10" t="str">
        <f>IF(AND(HOUR(O10)&gt;=1,HOUR(O10)&lt;=13),VLOOKUP(B10,Programacion!$A$8:$S$1048576,17,FALSE),VLOOKUP(B10,Programacion!$A$8:$S$1048576,19,FALSE))</f>
        <v>GB01</v>
      </c>
    </row>
    <row r="11" spans="1:33" x14ac:dyDescent="0.25">
      <c r="A11" s="33" t="s">
        <v>555</v>
      </c>
      <c r="B11" t="s">
        <v>497</v>
      </c>
      <c r="C11" t="s">
        <v>556</v>
      </c>
      <c r="D11" t="s">
        <v>557</v>
      </c>
      <c r="E11" t="s">
        <v>558</v>
      </c>
      <c r="F11" t="s">
        <v>610</v>
      </c>
      <c r="G11" t="s">
        <v>560</v>
      </c>
      <c r="H11" t="s">
        <v>561</v>
      </c>
      <c r="I11" t="s">
        <v>611</v>
      </c>
      <c r="L11" t="s">
        <v>612</v>
      </c>
      <c r="M11" t="s">
        <v>564</v>
      </c>
      <c r="N11" t="s">
        <v>573</v>
      </c>
      <c r="O11" t="s">
        <v>613</v>
      </c>
      <c r="P11" t="s">
        <v>582</v>
      </c>
      <c r="Q11" t="s">
        <v>568</v>
      </c>
      <c r="R11" t="s">
        <v>568</v>
      </c>
      <c r="S11" t="s">
        <v>569</v>
      </c>
      <c r="T11" t="s">
        <v>591</v>
      </c>
      <c r="U11" t="s">
        <v>619</v>
      </c>
      <c r="V11" t="s">
        <v>620</v>
      </c>
      <c r="W11" t="s">
        <v>594</v>
      </c>
      <c r="X11" t="s">
        <v>564</v>
      </c>
      <c r="Y11" t="s">
        <v>574</v>
      </c>
      <c r="Z11" t="s">
        <v>574</v>
      </c>
      <c r="AA11" t="s">
        <v>565</v>
      </c>
      <c r="AB11" t="s">
        <v>621</v>
      </c>
      <c r="AC11" t="s">
        <v>596</v>
      </c>
      <c r="AD11" t="s">
        <v>589</v>
      </c>
      <c r="AE11" t="s">
        <v>622</v>
      </c>
      <c r="AF11" t="str">
        <f>IF(AND(HOUR(O11)&gt;=1,HOUR(O11)&lt;=13),VLOOKUP(B11,Programacion!$A$8:$S$1048576,16,FALSE),VLOOKUP(B11,Programacion!$A$8:$S$1048576,18,FALSE))</f>
        <v xml:space="preserve">  1707</v>
      </c>
      <c r="AG11" t="str">
        <f>IF(AND(HOUR(O11)&gt;=1,HOUR(O11)&lt;=13),VLOOKUP(B11,Programacion!$A$8:$S$1048576,17,FALSE),VLOOKUP(B11,Programacion!$A$8:$S$1048576,19,FALSE))</f>
        <v>GB01</v>
      </c>
    </row>
    <row r="12" spans="1:33" x14ac:dyDescent="0.25">
      <c r="A12" s="33" t="s">
        <v>623</v>
      </c>
      <c r="B12" t="s">
        <v>495</v>
      </c>
      <c r="C12" t="s">
        <v>624</v>
      </c>
      <c r="D12" t="s">
        <v>557</v>
      </c>
      <c r="E12" t="s">
        <v>558</v>
      </c>
      <c r="F12" t="s">
        <v>625</v>
      </c>
      <c r="G12" t="s">
        <v>560</v>
      </c>
      <c r="H12" t="s">
        <v>561</v>
      </c>
      <c r="I12" t="s">
        <v>626</v>
      </c>
      <c r="L12" t="s">
        <v>563</v>
      </c>
      <c r="M12" t="s">
        <v>564</v>
      </c>
      <c r="N12" t="s">
        <v>573</v>
      </c>
      <c r="O12" t="s">
        <v>627</v>
      </c>
      <c r="P12" t="s">
        <v>605</v>
      </c>
      <c r="Q12" t="s">
        <v>568</v>
      </c>
      <c r="R12" t="s">
        <v>568</v>
      </c>
      <c r="S12" t="s">
        <v>569</v>
      </c>
      <c r="T12" t="s">
        <v>628</v>
      </c>
      <c r="U12" t="s">
        <v>629</v>
      </c>
      <c r="V12" t="s">
        <v>630</v>
      </c>
      <c r="W12" t="s">
        <v>564</v>
      </c>
      <c r="X12" t="s">
        <v>564</v>
      </c>
      <c r="Y12" t="s">
        <v>574</v>
      </c>
      <c r="Z12" t="s">
        <v>574</v>
      </c>
      <c r="AA12" t="s">
        <v>565</v>
      </c>
      <c r="AB12" t="s">
        <v>631</v>
      </c>
      <c r="AC12" t="s">
        <v>588</v>
      </c>
      <c r="AD12" t="s">
        <v>599</v>
      </c>
      <c r="AE12" t="s">
        <v>600</v>
      </c>
      <c r="AF12" t="str">
        <f>IF(AND(HOUR(O12)&gt;=1,HOUR(O12)&lt;=13),VLOOKUP(B12,Programacion!$A$8:$S$1048576,16,FALSE),VLOOKUP(B12,Programacion!$A$8:$S$1048576,18,FALSE))</f>
        <v xml:space="preserve">  1556</v>
      </c>
      <c r="AG12" t="str">
        <f>IF(AND(HOUR(O12)&gt;=1,HOUR(O12)&lt;=13),VLOOKUP(B12,Programacion!$A$8:$S$1048576,17,FALSE),VLOOKUP(B12,Programacion!$A$8:$S$1048576,19,FALSE))</f>
        <v>GB01</v>
      </c>
    </row>
    <row r="13" spans="1:33" x14ac:dyDescent="0.25">
      <c r="A13" s="33" t="s">
        <v>623</v>
      </c>
      <c r="B13" t="s">
        <v>495</v>
      </c>
      <c r="C13" t="s">
        <v>624</v>
      </c>
      <c r="D13" t="s">
        <v>557</v>
      </c>
      <c r="E13" t="s">
        <v>558</v>
      </c>
      <c r="F13" t="s">
        <v>625</v>
      </c>
      <c r="G13" t="s">
        <v>560</v>
      </c>
      <c r="H13" t="s">
        <v>561</v>
      </c>
      <c r="I13" t="s">
        <v>626</v>
      </c>
      <c r="L13" t="s">
        <v>563</v>
      </c>
      <c r="M13" t="s">
        <v>564</v>
      </c>
      <c r="N13" t="s">
        <v>573</v>
      </c>
      <c r="O13" t="s">
        <v>627</v>
      </c>
      <c r="P13" t="s">
        <v>605</v>
      </c>
      <c r="Q13" t="s">
        <v>568</v>
      </c>
      <c r="R13" t="s">
        <v>568</v>
      </c>
      <c r="S13" t="s">
        <v>569</v>
      </c>
      <c r="T13" t="s">
        <v>632</v>
      </c>
      <c r="U13" t="s">
        <v>633</v>
      </c>
      <c r="V13" t="s">
        <v>634</v>
      </c>
      <c r="W13" t="s">
        <v>586</v>
      </c>
      <c r="X13" t="s">
        <v>564</v>
      </c>
      <c r="Y13" t="s">
        <v>574</v>
      </c>
      <c r="Z13" t="s">
        <v>574</v>
      </c>
      <c r="AA13" t="s">
        <v>565</v>
      </c>
      <c r="AB13" t="s">
        <v>635</v>
      </c>
      <c r="AC13" t="s">
        <v>596</v>
      </c>
      <c r="AD13" t="s">
        <v>589</v>
      </c>
      <c r="AE13" t="s">
        <v>636</v>
      </c>
      <c r="AF13" t="str">
        <f>IF(AND(HOUR(O13)&gt;=1,HOUR(O13)&lt;=13),VLOOKUP(B13,Programacion!$A$8:$S$1048576,16,FALSE),VLOOKUP(B13,Programacion!$A$8:$S$1048576,18,FALSE))</f>
        <v xml:space="preserve">  1556</v>
      </c>
      <c r="AG13" t="str">
        <f>IF(AND(HOUR(O13)&gt;=1,HOUR(O13)&lt;=13),VLOOKUP(B13,Programacion!$A$8:$S$1048576,17,FALSE),VLOOKUP(B13,Programacion!$A$8:$S$1048576,19,FALSE))</f>
        <v>GB01</v>
      </c>
    </row>
    <row r="14" spans="1:33" x14ac:dyDescent="0.25">
      <c r="A14" s="33" t="s">
        <v>623</v>
      </c>
      <c r="B14" t="s">
        <v>495</v>
      </c>
      <c r="C14" t="s">
        <v>624</v>
      </c>
      <c r="D14" t="s">
        <v>557</v>
      </c>
      <c r="E14" t="s">
        <v>558</v>
      </c>
      <c r="F14" t="s">
        <v>625</v>
      </c>
      <c r="G14" t="s">
        <v>560</v>
      </c>
      <c r="H14" t="s">
        <v>561</v>
      </c>
      <c r="I14" t="s">
        <v>626</v>
      </c>
      <c r="L14" t="s">
        <v>563</v>
      </c>
      <c r="M14" t="s">
        <v>564</v>
      </c>
      <c r="N14" t="s">
        <v>573</v>
      </c>
      <c r="O14" t="s">
        <v>627</v>
      </c>
      <c r="P14" t="s">
        <v>605</v>
      </c>
      <c r="Q14" t="s">
        <v>568</v>
      </c>
      <c r="R14" t="s">
        <v>568</v>
      </c>
      <c r="S14" t="s">
        <v>569</v>
      </c>
      <c r="T14" t="s">
        <v>632</v>
      </c>
      <c r="U14" t="s">
        <v>633</v>
      </c>
      <c r="V14" t="s">
        <v>634</v>
      </c>
      <c r="W14" t="s">
        <v>586</v>
      </c>
      <c r="X14" t="s">
        <v>564</v>
      </c>
      <c r="Y14" t="s">
        <v>574</v>
      </c>
      <c r="Z14" t="s">
        <v>574</v>
      </c>
      <c r="AA14" t="s">
        <v>565</v>
      </c>
      <c r="AB14" t="s">
        <v>635</v>
      </c>
      <c r="AC14" t="s">
        <v>576</v>
      </c>
      <c r="AD14" t="s">
        <v>589</v>
      </c>
      <c r="AE14" t="s">
        <v>637</v>
      </c>
      <c r="AF14" t="str">
        <f>IF(AND(HOUR(O14)&gt;=1,HOUR(O14)&lt;=13),VLOOKUP(B14,Programacion!$A$8:$S$1048576,16,FALSE),VLOOKUP(B14,Programacion!$A$8:$S$1048576,18,FALSE))</f>
        <v xml:space="preserve">  1556</v>
      </c>
      <c r="AG14" t="str">
        <f>IF(AND(HOUR(O14)&gt;=1,HOUR(O14)&lt;=13),VLOOKUP(B14,Programacion!$A$8:$S$1048576,17,FALSE),VLOOKUP(B14,Programacion!$A$8:$S$1048576,19,FALSE))</f>
        <v>GB01</v>
      </c>
    </row>
    <row r="15" spans="1:33" x14ac:dyDescent="0.25">
      <c r="A15" s="33" t="s">
        <v>623</v>
      </c>
      <c r="B15" t="s">
        <v>495</v>
      </c>
      <c r="C15" t="s">
        <v>624</v>
      </c>
      <c r="D15" t="s">
        <v>557</v>
      </c>
      <c r="E15" t="s">
        <v>558</v>
      </c>
      <c r="F15" t="s">
        <v>638</v>
      </c>
      <c r="G15" t="s">
        <v>560</v>
      </c>
      <c r="H15" t="s">
        <v>561</v>
      </c>
      <c r="I15" t="s">
        <v>639</v>
      </c>
      <c r="L15" t="s">
        <v>640</v>
      </c>
      <c r="M15" t="s">
        <v>564</v>
      </c>
      <c r="N15" t="s">
        <v>573</v>
      </c>
      <c r="O15" t="s">
        <v>641</v>
      </c>
      <c r="P15" t="s">
        <v>642</v>
      </c>
      <c r="Q15" t="s">
        <v>568</v>
      </c>
      <c r="R15" t="s">
        <v>568</v>
      </c>
      <c r="S15" t="s">
        <v>569</v>
      </c>
      <c r="T15" t="s">
        <v>643</v>
      </c>
      <c r="U15" t="s">
        <v>584</v>
      </c>
      <c r="V15" t="s">
        <v>644</v>
      </c>
      <c r="W15" t="s">
        <v>645</v>
      </c>
      <c r="X15" t="s">
        <v>564</v>
      </c>
      <c r="Y15" t="s">
        <v>574</v>
      </c>
      <c r="Z15" t="s">
        <v>574</v>
      </c>
      <c r="AA15" t="s">
        <v>565</v>
      </c>
      <c r="AB15" t="s">
        <v>587</v>
      </c>
      <c r="AC15" t="s">
        <v>576</v>
      </c>
      <c r="AD15" t="s">
        <v>589</v>
      </c>
      <c r="AE15" t="s">
        <v>646</v>
      </c>
      <c r="AF15" t="str">
        <f>IF(AND(HOUR(O15)&gt;=1,HOUR(O15)&lt;=13),VLOOKUP(B15,Programacion!$A$8:$S$1048576,16,FALSE),VLOOKUP(B15,Programacion!$A$8:$S$1048576,18,FALSE))</f>
        <v xml:space="preserve">  1556</v>
      </c>
      <c r="AG15" t="str">
        <f>IF(AND(HOUR(O15)&gt;=1,HOUR(O15)&lt;=13),VLOOKUP(B15,Programacion!$A$8:$S$1048576,17,FALSE),VLOOKUP(B15,Programacion!$A$8:$S$1048576,19,FALSE))</f>
        <v>GB01</v>
      </c>
    </row>
    <row r="16" spans="1:33" x14ac:dyDescent="0.25">
      <c r="A16" s="33" t="s">
        <v>623</v>
      </c>
      <c r="B16" t="s">
        <v>495</v>
      </c>
      <c r="C16" t="s">
        <v>624</v>
      </c>
      <c r="D16" t="s">
        <v>557</v>
      </c>
      <c r="E16" t="s">
        <v>558</v>
      </c>
      <c r="F16" t="s">
        <v>638</v>
      </c>
      <c r="G16" t="s">
        <v>560</v>
      </c>
      <c r="H16" t="s">
        <v>561</v>
      </c>
      <c r="I16" t="s">
        <v>639</v>
      </c>
      <c r="L16" t="s">
        <v>640</v>
      </c>
      <c r="M16" t="s">
        <v>564</v>
      </c>
      <c r="N16" t="s">
        <v>573</v>
      </c>
      <c r="O16" t="s">
        <v>641</v>
      </c>
      <c r="P16" t="s">
        <v>642</v>
      </c>
      <c r="Q16" t="s">
        <v>568</v>
      </c>
      <c r="R16" t="s">
        <v>568</v>
      </c>
      <c r="S16" t="s">
        <v>569</v>
      </c>
      <c r="T16" t="s">
        <v>643</v>
      </c>
      <c r="U16" t="s">
        <v>584</v>
      </c>
      <c r="V16" t="s">
        <v>644</v>
      </c>
      <c r="W16" t="s">
        <v>645</v>
      </c>
      <c r="X16" t="s">
        <v>564</v>
      </c>
      <c r="Y16" t="s">
        <v>574</v>
      </c>
      <c r="Z16" t="s">
        <v>574</v>
      </c>
      <c r="AA16" t="s">
        <v>565</v>
      </c>
      <c r="AB16" t="s">
        <v>587</v>
      </c>
      <c r="AC16" t="s">
        <v>596</v>
      </c>
      <c r="AD16" t="s">
        <v>599</v>
      </c>
      <c r="AE16" t="s">
        <v>647</v>
      </c>
      <c r="AF16" t="str">
        <f>IF(AND(HOUR(O16)&gt;=1,HOUR(O16)&lt;=13),VLOOKUP(B16,Programacion!$A$8:$S$1048576,16,FALSE),VLOOKUP(B16,Programacion!$A$8:$S$1048576,18,FALSE))</f>
        <v xml:space="preserve">  1556</v>
      </c>
      <c r="AG16" t="str">
        <f>IF(AND(HOUR(O16)&gt;=1,HOUR(O16)&lt;=13),VLOOKUP(B16,Programacion!$A$8:$S$1048576,17,FALSE),VLOOKUP(B16,Programacion!$A$8:$S$1048576,19,FALSE))</f>
        <v>GB01</v>
      </c>
    </row>
    <row r="17" spans="1:33" x14ac:dyDescent="0.25">
      <c r="A17" s="33" t="s">
        <v>623</v>
      </c>
      <c r="B17" t="s">
        <v>495</v>
      </c>
      <c r="C17" t="s">
        <v>624</v>
      </c>
      <c r="D17" t="s">
        <v>557</v>
      </c>
      <c r="E17" t="s">
        <v>558</v>
      </c>
      <c r="F17" t="s">
        <v>638</v>
      </c>
      <c r="G17" t="s">
        <v>560</v>
      </c>
      <c r="H17" t="s">
        <v>561</v>
      </c>
      <c r="I17" t="s">
        <v>639</v>
      </c>
      <c r="L17" t="s">
        <v>640</v>
      </c>
      <c r="M17" t="s">
        <v>564</v>
      </c>
      <c r="N17" t="s">
        <v>573</v>
      </c>
      <c r="O17" t="s">
        <v>641</v>
      </c>
      <c r="P17" t="s">
        <v>642</v>
      </c>
      <c r="Q17" t="s">
        <v>568</v>
      </c>
      <c r="R17" t="s">
        <v>568</v>
      </c>
      <c r="S17" t="s">
        <v>569</v>
      </c>
      <c r="T17" t="s">
        <v>606</v>
      </c>
      <c r="U17" t="s">
        <v>648</v>
      </c>
      <c r="V17" t="s">
        <v>649</v>
      </c>
      <c r="W17" t="s">
        <v>586</v>
      </c>
      <c r="X17" t="s">
        <v>564</v>
      </c>
      <c r="Y17" t="s">
        <v>574</v>
      </c>
      <c r="Z17" t="s">
        <v>574</v>
      </c>
      <c r="AA17" t="s">
        <v>565</v>
      </c>
      <c r="AB17" t="s">
        <v>650</v>
      </c>
      <c r="AC17" t="s">
        <v>576</v>
      </c>
      <c r="AD17" t="s">
        <v>599</v>
      </c>
      <c r="AE17" t="s">
        <v>600</v>
      </c>
      <c r="AF17" t="str">
        <f>IF(AND(HOUR(O17)&gt;=1,HOUR(O17)&lt;=13),VLOOKUP(B17,Programacion!$A$8:$S$1048576,16,FALSE),VLOOKUP(B17,Programacion!$A$8:$S$1048576,18,FALSE))</f>
        <v xml:space="preserve">  1556</v>
      </c>
      <c r="AG17" t="str">
        <f>IF(AND(HOUR(O17)&gt;=1,HOUR(O17)&lt;=13),VLOOKUP(B17,Programacion!$A$8:$S$1048576,17,FALSE),VLOOKUP(B17,Programacion!$A$8:$S$1048576,19,FALSE))</f>
        <v>GB01</v>
      </c>
    </row>
    <row r="18" spans="1:33" x14ac:dyDescent="0.25">
      <c r="A18" s="33" t="s">
        <v>623</v>
      </c>
      <c r="B18" t="s">
        <v>495</v>
      </c>
      <c r="C18" t="s">
        <v>624</v>
      </c>
      <c r="D18" t="s">
        <v>557</v>
      </c>
      <c r="E18" t="s">
        <v>558</v>
      </c>
      <c r="F18" t="s">
        <v>638</v>
      </c>
      <c r="G18" t="s">
        <v>560</v>
      </c>
      <c r="H18" t="s">
        <v>561</v>
      </c>
      <c r="I18" t="s">
        <v>639</v>
      </c>
      <c r="L18" t="s">
        <v>640</v>
      </c>
      <c r="M18" t="s">
        <v>564</v>
      </c>
      <c r="N18" t="s">
        <v>573</v>
      </c>
      <c r="O18" t="s">
        <v>641</v>
      </c>
      <c r="P18" t="s">
        <v>642</v>
      </c>
      <c r="Q18" t="s">
        <v>568</v>
      </c>
      <c r="R18" t="s">
        <v>568</v>
      </c>
      <c r="S18" t="s">
        <v>569</v>
      </c>
      <c r="T18" t="s">
        <v>606</v>
      </c>
      <c r="U18" t="s">
        <v>648</v>
      </c>
      <c r="V18" t="s">
        <v>649</v>
      </c>
      <c r="W18" t="s">
        <v>586</v>
      </c>
      <c r="X18" t="s">
        <v>564</v>
      </c>
      <c r="Y18" t="s">
        <v>574</v>
      </c>
      <c r="Z18" t="s">
        <v>574</v>
      </c>
      <c r="AA18" t="s">
        <v>565</v>
      </c>
      <c r="AB18" t="s">
        <v>650</v>
      </c>
      <c r="AC18" t="s">
        <v>596</v>
      </c>
      <c r="AD18" t="s">
        <v>599</v>
      </c>
      <c r="AE18" t="s">
        <v>651</v>
      </c>
      <c r="AF18" t="str">
        <f>IF(AND(HOUR(O18)&gt;=1,HOUR(O18)&lt;=13),VLOOKUP(B18,Programacion!$A$8:$S$1048576,16,FALSE),VLOOKUP(B18,Programacion!$A$8:$S$1048576,18,FALSE))</f>
        <v xml:space="preserve">  1556</v>
      </c>
      <c r="AG18" t="str">
        <f>IF(AND(HOUR(O18)&gt;=1,HOUR(O18)&lt;=13),VLOOKUP(B18,Programacion!$A$8:$S$1048576,17,FALSE),VLOOKUP(B18,Programacion!$A$8:$S$1048576,19,FALSE))</f>
        <v>GB01</v>
      </c>
    </row>
    <row r="19" spans="1:33" x14ac:dyDescent="0.25">
      <c r="A19" s="33" t="s">
        <v>623</v>
      </c>
      <c r="B19" t="s">
        <v>495</v>
      </c>
      <c r="C19" t="s">
        <v>624</v>
      </c>
      <c r="D19" t="s">
        <v>557</v>
      </c>
      <c r="E19" t="s">
        <v>558</v>
      </c>
      <c r="F19" t="s">
        <v>652</v>
      </c>
      <c r="G19" t="s">
        <v>560</v>
      </c>
      <c r="H19" t="s">
        <v>561</v>
      </c>
      <c r="I19" t="s">
        <v>653</v>
      </c>
      <c r="L19" t="s">
        <v>603</v>
      </c>
      <c r="M19" t="s">
        <v>564</v>
      </c>
      <c r="N19" t="s">
        <v>573</v>
      </c>
      <c r="O19" t="s">
        <v>604</v>
      </c>
      <c r="P19" t="s">
        <v>605</v>
      </c>
      <c r="Q19" t="s">
        <v>568</v>
      </c>
      <c r="R19" t="s">
        <v>568</v>
      </c>
      <c r="S19" t="s">
        <v>569</v>
      </c>
      <c r="T19" t="s">
        <v>654</v>
      </c>
      <c r="U19" t="s">
        <v>607</v>
      </c>
      <c r="V19" t="s">
        <v>655</v>
      </c>
      <c r="W19" t="s">
        <v>594</v>
      </c>
      <c r="X19" t="s">
        <v>564</v>
      </c>
      <c r="Y19" t="s">
        <v>574</v>
      </c>
      <c r="Z19" t="s">
        <v>574</v>
      </c>
      <c r="AA19" t="s">
        <v>565</v>
      </c>
      <c r="AB19" t="s">
        <v>609</v>
      </c>
      <c r="AC19" t="s">
        <v>588</v>
      </c>
      <c r="AD19" t="s">
        <v>656</v>
      </c>
      <c r="AE19" t="s">
        <v>657</v>
      </c>
      <c r="AF19" t="str">
        <f>IF(AND(HOUR(O19)&gt;=1,HOUR(O19)&lt;=13),VLOOKUP(B19,Programacion!$A$8:$S$1048576,16,FALSE),VLOOKUP(B19,Programacion!$A$8:$S$1048576,18,FALSE))</f>
        <v xml:space="preserve">  2301</v>
      </c>
      <c r="AG19" t="str">
        <f>IF(AND(HOUR(O19)&gt;=1,HOUR(O19)&lt;=13),VLOOKUP(B19,Programacion!$A$8:$S$1048576,17,FALSE),VLOOKUP(B19,Programacion!$A$8:$S$1048576,19,FALSE))</f>
        <v>GB01</v>
      </c>
    </row>
    <row r="20" spans="1:33" x14ac:dyDescent="0.25">
      <c r="A20" s="33" t="s">
        <v>623</v>
      </c>
      <c r="B20" t="s">
        <v>495</v>
      </c>
      <c r="C20" t="s">
        <v>624</v>
      </c>
      <c r="D20" t="s">
        <v>557</v>
      </c>
      <c r="E20" t="s">
        <v>558</v>
      </c>
      <c r="F20" t="s">
        <v>652</v>
      </c>
      <c r="G20" t="s">
        <v>560</v>
      </c>
      <c r="H20" t="s">
        <v>561</v>
      </c>
      <c r="I20" t="s">
        <v>653</v>
      </c>
      <c r="L20" t="s">
        <v>603</v>
      </c>
      <c r="M20" t="s">
        <v>564</v>
      </c>
      <c r="N20" t="s">
        <v>573</v>
      </c>
      <c r="O20" t="s">
        <v>604</v>
      </c>
      <c r="P20" t="s">
        <v>605</v>
      </c>
      <c r="Q20" t="s">
        <v>568</v>
      </c>
      <c r="R20" t="s">
        <v>568</v>
      </c>
      <c r="S20" t="s">
        <v>569</v>
      </c>
      <c r="T20" t="s">
        <v>658</v>
      </c>
      <c r="U20" t="s">
        <v>659</v>
      </c>
      <c r="V20" t="s">
        <v>660</v>
      </c>
      <c r="W20" t="s">
        <v>594</v>
      </c>
      <c r="X20" t="s">
        <v>564</v>
      </c>
      <c r="Y20" t="s">
        <v>574</v>
      </c>
      <c r="Z20" t="s">
        <v>574</v>
      </c>
      <c r="AA20" t="s">
        <v>565</v>
      </c>
      <c r="AB20" t="s">
        <v>661</v>
      </c>
      <c r="AC20" t="s">
        <v>596</v>
      </c>
      <c r="AD20" t="s">
        <v>599</v>
      </c>
      <c r="AE20" t="s">
        <v>647</v>
      </c>
      <c r="AF20" t="str">
        <f>IF(AND(HOUR(O20)&gt;=1,HOUR(O20)&lt;=13),VLOOKUP(B20,Programacion!$A$8:$S$1048576,16,FALSE),VLOOKUP(B20,Programacion!$A$8:$S$1048576,18,FALSE))</f>
        <v xml:space="preserve">  2301</v>
      </c>
      <c r="AG20" t="str">
        <f>IF(AND(HOUR(O20)&gt;=1,HOUR(O20)&lt;=13),VLOOKUP(B20,Programacion!$A$8:$S$1048576,17,FALSE),VLOOKUP(B20,Programacion!$A$8:$S$1048576,19,FALSE))</f>
        <v>GB01</v>
      </c>
    </row>
    <row r="21" spans="1:33" x14ac:dyDescent="0.25">
      <c r="A21" s="33" t="s">
        <v>623</v>
      </c>
      <c r="B21" t="s">
        <v>495</v>
      </c>
      <c r="C21" t="s">
        <v>624</v>
      </c>
      <c r="D21" t="s">
        <v>557</v>
      </c>
      <c r="E21" t="s">
        <v>558</v>
      </c>
      <c r="F21" t="s">
        <v>652</v>
      </c>
      <c r="G21" t="s">
        <v>560</v>
      </c>
      <c r="H21" t="s">
        <v>561</v>
      </c>
      <c r="I21" t="s">
        <v>653</v>
      </c>
      <c r="L21" t="s">
        <v>603</v>
      </c>
      <c r="M21" t="s">
        <v>564</v>
      </c>
      <c r="N21" t="s">
        <v>573</v>
      </c>
      <c r="O21" t="s">
        <v>604</v>
      </c>
      <c r="P21" t="s">
        <v>605</v>
      </c>
      <c r="Q21" t="s">
        <v>568</v>
      </c>
      <c r="R21" t="s">
        <v>568</v>
      </c>
      <c r="S21" t="s">
        <v>569</v>
      </c>
      <c r="T21" t="s">
        <v>658</v>
      </c>
      <c r="U21" t="s">
        <v>659</v>
      </c>
      <c r="V21" t="s">
        <v>662</v>
      </c>
      <c r="W21" t="s">
        <v>594</v>
      </c>
      <c r="X21" t="s">
        <v>564</v>
      </c>
      <c r="Y21" t="s">
        <v>574</v>
      </c>
      <c r="Z21" t="s">
        <v>574</v>
      </c>
      <c r="AA21" t="s">
        <v>565</v>
      </c>
      <c r="AB21" t="s">
        <v>661</v>
      </c>
      <c r="AC21" t="s">
        <v>588</v>
      </c>
      <c r="AD21" t="s">
        <v>599</v>
      </c>
      <c r="AE21" t="s">
        <v>663</v>
      </c>
      <c r="AF21" t="str">
        <f>IF(AND(HOUR(O21)&gt;=1,HOUR(O21)&lt;=13),VLOOKUP(B21,Programacion!$A$8:$S$1048576,16,FALSE),VLOOKUP(B21,Programacion!$A$8:$S$1048576,18,FALSE))</f>
        <v xml:space="preserve">  2301</v>
      </c>
      <c r="AG21" t="str">
        <f>IF(AND(HOUR(O21)&gt;=1,HOUR(O21)&lt;=13),VLOOKUP(B21,Programacion!$A$8:$S$1048576,17,FALSE),VLOOKUP(B21,Programacion!$A$8:$S$1048576,19,FALSE))</f>
        <v>GB01</v>
      </c>
    </row>
    <row r="22" spans="1:33" x14ac:dyDescent="0.25">
      <c r="A22" s="33" t="s">
        <v>623</v>
      </c>
      <c r="B22" t="s">
        <v>495</v>
      </c>
      <c r="C22" t="s">
        <v>624</v>
      </c>
      <c r="D22" t="s">
        <v>557</v>
      </c>
      <c r="E22" t="s">
        <v>558</v>
      </c>
      <c r="F22" t="s">
        <v>664</v>
      </c>
      <c r="G22" t="s">
        <v>560</v>
      </c>
      <c r="H22" t="s">
        <v>561</v>
      </c>
      <c r="I22" t="s">
        <v>665</v>
      </c>
      <c r="L22" t="s">
        <v>666</v>
      </c>
      <c r="M22" t="s">
        <v>564</v>
      </c>
      <c r="N22" t="s">
        <v>573</v>
      </c>
      <c r="O22" t="s">
        <v>621</v>
      </c>
      <c r="P22" t="s">
        <v>582</v>
      </c>
      <c r="Q22" t="s">
        <v>568</v>
      </c>
      <c r="R22" t="s">
        <v>568</v>
      </c>
      <c r="S22" t="s">
        <v>569</v>
      </c>
      <c r="T22" t="s">
        <v>667</v>
      </c>
      <c r="U22" t="s">
        <v>668</v>
      </c>
      <c r="V22" t="s">
        <v>669</v>
      </c>
      <c r="W22" t="s">
        <v>594</v>
      </c>
      <c r="X22" t="s">
        <v>564</v>
      </c>
      <c r="Y22" t="s">
        <v>574</v>
      </c>
      <c r="Z22" t="s">
        <v>574</v>
      </c>
      <c r="AA22" t="s">
        <v>565</v>
      </c>
      <c r="AB22" t="s">
        <v>670</v>
      </c>
      <c r="AC22" t="s">
        <v>576</v>
      </c>
      <c r="AD22" t="s">
        <v>599</v>
      </c>
      <c r="AE22" t="s">
        <v>651</v>
      </c>
      <c r="AF22" t="str">
        <f>IF(AND(HOUR(O22)&gt;=1,HOUR(O22)&lt;=13),VLOOKUP(B22,Programacion!$A$8:$S$1048576,16,FALSE),VLOOKUP(B22,Programacion!$A$8:$S$1048576,18,FALSE))</f>
        <v xml:space="preserve">  2301</v>
      </c>
      <c r="AG22" t="str">
        <f>IF(AND(HOUR(O22)&gt;=1,HOUR(O22)&lt;=13),VLOOKUP(B22,Programacion!$A$8:$S$1048576,17,FALSE),VLOOKUP(B22,Programacion!$A$8:$S$1048576,19,FALSE))</f>
        <v>GB01</v>
      </c>
    </row>
    <row r="23" spans="1:33" x14ac:dyDescent="0.25">
      <c r="A23" s="33" t="s">
        <v>623</v>
      </c>
      <c r="B23" t="s">
        <v>495</v>
      </c>
      <c r="C23" t="s">
        <v>624</v>
      </c>
      <c r="D23" t="s">
        <v>557</v>
      </c>
      <c r="E23" t="s">
        <v>558</v>
      </c>
      <c r="F23" t="s">
        <v>664</v>
      </c>
      <c r="G23" t="s">
        <v>560</v>
      </c>
      <c r="H23" t="s">
        <v>561</v>
      </c>
      <c r="I23" t="s">
        <v>665</v>
      </c>
      <c r="L23" t="s">
        <v>666</v>
      </c>
      <c r="M23" t="s">
        <v>564</v>
      </c>
      <c r="N23" t="s">
        <v>573</v>
      </c>
      <c r="O23" t="s">
        <v>621</v>
      </c>
      <c r="P23" t="s">
        <v>582</v>
      </c>
      <c r="Q23" t="s">
        <v>568</v>
      </c>
      <c r="R23" t="s">
        <v>568</v>
      </c>
      <c r="S23" t="s">
        <v>569</v>
      </c>
      <c r="T23" t="s">
        <v>667</v>
      </c>
      <c r="U23" t="s">
        <v>668</v>
      </c>
      <c r="V23" t="s">
        <v>669</v>
      </c>
      <c r="W23" t="s">
        <v>594</v>
      </c>
      <c r="X23" t="s">
        <v>564</v>
      </c>
      <c r="Y23" t="s">
        <v>574</v>
      </c>
      <c r="Z23" t="s">
        <v>574</v>
      </c>
      <c r="AA23" t="s">
        <v>565</v>
      </c>
      <c r="AB23" t="s">
        <v>670</v>
      </c>
      <c r="AC23" t="s">
        <v>596</v>
      </c>
      <c r="AD23" t="s">
        <v>589</v>
      </c>
      <c r="AE23" t="s">
        <v>597</v>
      </c>
      <c r="AF23" t="str">
        <f>IF(AND(HOUR(O23)&gt;=1,HOUR(O23)&lt;=13),VLOOKUP(B23,Programacion!$A$8:$S$1048576,16,FALSE),VLOOKUP(B23,Programacion!$A$8:$S$1048576,18,FALSE))</f>
        <v xml:space="preserve">  2301</v>
      </c>
      <c r="AG23" t="str">
        <f>IF(AND(HOUR(O23)&gt;=1,HOUR(O23)&lt;=13),VLOOKUP(B23,Programacion!$A$8:$S$1048576,17,FALSE),VLOOKUP(B23,Programacion!$A$8:$S$1048576,19,FALSE))</f>
        <v>GB01</v>
      </c>
    </row>
    <row r="24" spans="1:33" x14ac:dyDescent="0.25">
      <c r="A24" s="33" t="s">
        <v>623</v>
      </c>
      <c r="B24" t="s">
        <v>495</v>
      </c>
      <c r="C24" t="s">
        <v>624</v>
      </c>
      <c r="D24" t="s">
        <v>557</v>
      </c>
      <c r="E24" t="s">
        <v>558</v>
      </c>
      <c r="F24" t="s">
        <v>664</v>
      </c>
      <c r="G24" t="s">
        <v>560</v>
      </c>
      <c r="H24" t="s">
        <v>561</v>
      </c>
      <c r="I24" t="s">
        <v>665</v>
      </c>
      <c r="L24" t="s">
        <v>666</v>
      </c>
      <c r="M24" t="s">
        <v>564</v>
      </c>
      <c r="N24" t="s">
        <v>573</v>
      </c>
      <c r="O24" t="s">
        <v>621</v>
      </c>
      <c r="P24" t="s">
        <v>582</v>
      </c>
      <c r="Q24" t="s">
        <v>568</v>
      </c>
      <c r="R24" t="s">
        <v>568</v>
      </c>
      <c r="S24" t="s">
        <v>569</v>
      </c>
      <c r="T24" t="s">
        <v>667</v>
      </c>
      <c r="U24" t="s">
        <v>668</v>
      </c>
      <c r="V24" t="s">
        <v>669</v>
      </c>
      <c r="W24" t="s">
        <v>594</v>
      </c>
      <c r="X24" t="s">
        <v>564</v>
      </c>
      <c r="Y24" t="s">
        <v>574</v>
      </c>
      <c r="Z24" t="s">
        <v>574</v>
      </c>
      <c r="AA24" t="s">
        <v>565</v>
      </c>
      <c r="AB24" t="s">
        <v>670</v>
      </c>
      <c r="AC24" t="s">
        <v>598</v>
      </c>
      <c r="AD24" t="s">
        <v>589</v>
      </c>
      <c r="AE24" t="s">
        <v>671</v>
      </c>
      <c r="AF24" t="str">
        <f>IF(AND(HOUR(O24)&gt;=1,HOUR(O24)&lt;=13),VLOOKUP(B24,Programacion!$A$8:$S$1048576,16,FALSE),VLOOKUP(B24,Programacion!$A$8:$S$1048576,18,FALSE))</f>
        <v xml:space="preserve">  2301</v>
      </c>
      <c r="AG24" t="str">
        <f>IF(AND(HOUR(O24)&gt;=1,HOUR(O24)&lt;=13),VLOOKUP(B24,Programacion!$A$8:$S$1048576,17,FALSE),VLOOKUP(B24,Programacion!$A$8:$S$1048576,19,FALSE))</f>
        <v>GB01</v>
      </c>
    </row>
    <row r="25" spans="1:33" x14ac:dyDescent="0.25">
      <c r="A25" s="33" t="s">
        <v>83</v>
      </c>
      <c r="B25" t="s">
        <v>484</v>
      </c>
      <c r="C25" t="s">
        <v>672</v>
      </c>
      <c r="D25" t="s">
        <v>557</v>
      </c>
      <c r="E25" t="s">
        <v>558</v>
      </c>
      <c r="F25" t="s">
        <v>673</v>
      </c>
      <c r="G25" t="s">
        <v>560</v>
      </c>
      <c r="H25" t="s">
        <v>561</v>
      </c>
      <c r="I25" t="s">
        <v>674</v>
      </c>
      <c r="L25" t="s">
        <v>603</v>
      </c>
      <c r="M25" t="s">
        <v>564</v>
      </c>
      <c r="N25" t="s">
        <v>565</v>
      </c>
      <c r="O25" t="s">
        <v>675</v>
      </c>
      <c r="P25" t="s">
        <v>676</v>
      </c>
      <c r="Q25" t="s">
        <v>677</v>
      </c>
      <c r="R25" t="s">
        <v>677</v>
      </c>
      <c r="S25" t="s">
        <v>678</v>
      </c>
      <c r="T25" t="s">
        <v>679</v>
      </c>
      <c r="U25" t="s">
        <v>680</v>
      </c>
      <c r="V25" t="s">
        <v>681</v>
      </c>
      <c r="W25" t="s">
        <v>682</v>
      </c>
      <c r="X25" t="s">
        <v>564</v>
      </c>
      <c r="Y25" t="s">
        <v>574</v>
      </c>
      <c r="Z25" t="s">
        <v>574</v>
      </c>
      <c r="AA25" t="s">
        <v>565</v>
      </c>
      <c r="AB25" t="s">
        <v>683</v>
      </c>
      <c r="AC25" t="s">
        <v>576</v>
      </c>
      <c r="AD25" t="s">
        <v>677</v>
      </c>
      <c r="AE25" t="s">
        <v>684</v>
      </c>
      <c r="AF25" t="e">
        <f>IF(AND(HOUR(O25)&gt;=1,HOUR(O25)&lt;=13),VLOOKUP(B25,Programacion!$A$8:$S$1048576,16,FALSE),VLOOKUP(B25,Programacion!$A$8:$S$1048576,18,FALSE))</f>
        <v>#REF!</v>
      </c>
      <c r="AG25" t="e">
        <f>IF(AND(HOUR(O25)&gt;=1,HOUR(O25)&lt;=13),VLOOKUP(B25,Programacion!$A$8:$S$1048576,17,FALSE),VLOOKUP(B25,Programacion!$A$8:$S$1048576,19,FALSE))</f>
        <v>#REF!</v>
      </c>
    </row>
    <row r="26" spans="1:33" x14ac:dyDescent="0.25">
      <c r="A26" s="33" t="s">
        <v>83</v>
      </c>
      <c r="B26" t="s">
        <v>484</v>
      </c>
      <c r="C26" t="s">
        <v>672</v>
      </c>
      <c r="D26" t="s">
        <v>557</v>
      </c>
      <c r="E26" t="s">
        <v>558</v>
      </c>
      <c r="F26" t="s">
        <v>685</v>
      </c>
      <c r="G26" t="s">
        <v>560</v>
      </c>
      <c r="H26" t="s">
        <v>561</v>
      </c>
      <c r="I26" t="s">
        <v>686</v>
      </c>
      <c r="L26" t="s">
        <v>687</v>
      </c>
      <c r="M26" t="s">
        <v>564</v>
      </c>
      <c r="N26" t="s">
        <v>573</v>
      </c>
      <c r="O26" t="s">
        <v>688</v>
      </c>
      <c r="P26" t="s">
        <v>567</v>
      </c>
      <c r="Q26" t="s">
        <v>677</v>
      </c>
      <c r="R26" t="s">
        <v>677</v>
      </c>
      <c r="S26" t="s">
        <v>678</v>
      </c>
      <c r="T26" t="s">
        <v>689</v>
      </c>
      <c r="U26" t="s">
        <v>690</v>
      </c>
      <c r="V26" t="s">
        <v>691</v>
      </c>
      <c r="W26" t="s">
        <v>573</v>
      </c>
      <c r="X26" t="s">
        <v>564</v>
      </c>
      <c r="Y26" t="s">
        <v>574</v>
      </c>
      <c r="Z26" t="s">
        <v>574</v>
      </c>
      <c r="AA26" t="s">
        <v>565</v>
      </c>
      <c r="AB26" t="s">
        <v>670</v>
      </c>
      <c r="AC26" t="s">
        <v>588</v>
      </c>
      <c r="AD26" t="s">
        <v>692</v>
      </c>
      <c r="AE26" t="s">
        <v>590</v>
      </c>
      <c r="AF26" t="e">
        <f>IF(AND(HOUR(O26)&gt;=1,HOUR(O26)&lt;=13),VLOOKUP(B26,Programacion!$A$8:$S$1048576,16,FALSE),VLOOKUP(B26,Programacion!$A$8:$S$1048576,18,FALSE))</f>
        <v>#REF!</v>
      </c>
      <c r="AG26" t="e">
        <f>IF(AND(HOUR(O26)&gt;=1,HOUR(O26)&lt;=13),VLOOKUP(B26,Programacion!$A$8:$S$1048576,17,FALSE),VLOOKUP(B26,Programacion!$A$8:$S$1048576,19,FALSE))</f>
        <v>#REF!</v>
      </c>
    </row>
    <row r="27" spans="1:33" x14ac:dyDescent="0.25">
      <c r="A27" s="33" t="s">
        <v>83</v>
      </c>
      <c r="B27" t="s">
        <v>484</v>
      </c>
      <c r="C27" t="s">
        <v>672</v>
      </c>
      <c r="D27" t="s">
        <v>557</v>
      </c>
      <c r="E27" t="s">
        <v>558</v>
      </c>
      <c r="F27" t="s">
        <v>685</v>
      </c>
      <c r="G27" t="s">
        <v>560</v>
      </c>
      <c r="H27" t="s">
        <v>561</v>
      </c>
      <c r="I27" t="s">
        <v>686</v>
      </c>
      <c r="L27" t="s">
        <v>687</v>
      </c>
      <c r="M27" t="s">
        <v>564</v>
      </c>
      <c r="N27" t="s">
        <v>573</v>
      </c>
      <c r="O27" t="s">
        <v>688</v>
      </c>
      <c r="P27" t="s">
        <v>567</v>
      </c>
      <c r="Q27" t="s">
        <v>677</v>
      </c>
      <c r="R27" t="s">
        <v>677</v>
      </c>
      <c r="S27" t="s">
        <v>678</v>
      </c>
      <c r="T27" t="s">
        <v>689</v>
      </c>
      <c r="U27" t="s">
        <v>690</v>
      </c>
      <c r="V27" t="s">
        <v>691</v>
      </c>
      <c r="W27" t="s">
        <v>573</v>
      </c>
      <c r="X27" t="s">
        <v>564</v>
      </c>
      <c r="Y27" t="s">
        <v>574</v>
      </c>
      <c r="Z27" t="s">
        <v>574</v>
      </c>
      <c r="AA27" t="s">
        <v>565</v>
      </c>
      <c r="AB27" t="s">
        <v>670</v>
      </c>
      <c r="AC27" t="s">
        <v>596</v>
      </c>
      <c r="AD27" t="s">
        <v>693</v>
      </c>
      <c r="AE27" t="s">
        <v>694</v>
      </c>
      <c r="AF27" t="e">
        <f>IF(AND(HOUR(O27)&gt;=1,HOUR(O27)&lt;=13),VLOOKUP(B27,Programacion!$A$8:$S$1048576,16,FALSE),VLOOKUP(B27,Programacion!$A$8:$S$1048576,18,FALSE))</f>
        <v>#REF!</v>
      </c>
      <c r="AG27" t="e">
        <f>IF(AND(HOUR(O27)&gt;=1,HOUR(O27)&lt;=13),VLOOKUP(B27,Programacion!$A$8:$S$1048576,17,FALSE),VLOOKUP(B27,Programacion!$A$8:$S$1048576,19,FALSE))</f>
        <v>#REF!</v>
      </c>
    </row>
    <row r="28" spans="1:33" x14ac:dyDescent="0.25">
      <c r="A28" s="33" t="s">
        <v>83</v>
      </c>
      <c r="B28" t="s">
        <v>484</v>
      </c>
      <c r="C28" t="s">
        <v>672</v>
      </c>
      <c r="D28" t="s">
        <v>557</v>
      </c>
      <c r="E28" t="s">
        <v>558</v>
      </c>
      <c r="F28" t="s">
        <v>685</v>
      </c>
      <c r="G28" t="s">
        <v>560</v>
      </c>
      <c r="H28" t="s">
        <v>561</v>
      </c>
      <c r="I28" t="s">
        <v>686</v>
      </c>
      <c r="L28" t="s">
        <v>687</v>
      </c>
      <c r="M28" t="s">
        <v>564</v>
      </c>
      <c r="N28" t="s">
        <v>573</v>
      </c>
      <c r="O28" t="s">
        <v>688</v>
      </c>
      <c r="P28" t="s">
        <v>567</v>
      </c>
      <c r="Q28" t="s">
        <v>677</v>
      </c>
      <c r="R28" t="s">
        <v>677</v>
      </c>
      <c r="S28" t="s">
        <v>678</v>
      </c>
      <c r="T28" t="s">
        <v>689</v>
      </c>
      <c r="U28" t="s">
        <v>690</v>
      </c>
      <c r="V28" t="s">
        <v>691</v>
      </c>
      <c r="W28" t="s">
        <v>573</v>
      </c>
      <c r="X28" t="s">
        <v>564</v>
      </c>
      <c r="Y28" t="s">
        <v>574</v>
      </c>
      <c r="Z28" t="s">
        <v>574</v>
      </c>
      <c r="AA28" t="s">
        <v>565</v>
      </c>
      <c r="AB28" t="s">
        <v>670</v>
      </c>
      <c r="AC28" t="s">
        <v>598</v>
      </c>
      <c r="AD28" t="s">
        <v>695</v>
      </c>
      <c r="AE28" t="s">
        <v>696</v>
      </c>
      <c r="AF28" t="e">
        <f>IF(AND(HOUR(O28)&gt;=1,HOUR(O28)&lt;=13),VLOOKUP(B28,Programacion!$A$8:$S$1048576,16,FALSE),VLOOKUP(B28,Programacion!$A$8:$S$1048576,18,FALSE))</f>
        <v>#REF!</v>
      </c>
      <c r="AG28" t="e">
        <f>IF(AND(HOUR(O28)&gt;=1,HOUR(O28)&lt;=13),VLOOKUP(B28,Programacion!$A$8:$S$1048576,17,FALSE),VLOOKUP(B28,Programacion!$A$8:$S$1048576,19,FALSE))</f>
        <v>#REF!</v>
      </c>
    </row>
    <row r="29" spans="1:33" x14ac:dyDescent="0.25">
      <c r="A29" s="33" t="s">
        <v>83</v>
      </c>
      <c r="B29" t="s">
        <v>484</v>
      </c>
      <c r="C29" t="s">
        <v>672</v>
      </c>
      <c r="D29" t="s">
        <v>557</v>
      </c>
      <c r="E29" t="s">
        <v>558</v>
      </c>
      <c r="F29" t="s">
        <v>685</v>
      </c>
      <c r="G29" t="s">
        <v>560</v>
      </c>
      <c r="H29" t="s">
        <v>561</v>
      </c>
      <c r="I29" t="s">
        <v>686</v>
      </c>
      <c r="L29" t="s">
        <v>687</v>
      </c>
      <c r="M29" t="s">
        <v>564</v>
      </c>
      <c r="N29" t="s">
        <v>573</v>
      </c>
      <c r="O29" t="s">
        <v>688</v>
      </c>
      <c r="P29" t="s">
        <v>567</v>
      </c>
      <c r="Q29" t="s">
        <v>677</v>
      </c>
      <c r="R29" t="s">
        <v>677</v>
      </c>
      <c r="S29" t="s">
        <v>678</v>
      </c>
      <c r="T29" t="s">
        <v>689</v>
      </c>
      <c r="U29" t="s">
        <v>690</v>
      </c>
      <c r="V29" t="s">
        <v>691</v>
      </c>
      <c r="W29" t="s">
        <v>573</v>
      </c>
      <c r="X29" t="s">
        <v>564</v>
      </c>
      <c r="Y29" t="s">
        <v>574</v>
      </c>
      <c r="Z29" t="s">
        <v>574</v>
      </c>
      <c r="AA29" t="s">
        <v>565</v>
      </c>
      <c r="AB29" t="s">
        <v>670</v>
      </c>
      <c r="AC29" t="s">
        <v>576</v>
      </c>
      <c r="AD29" t="s">
        <v>695</v>
      </c>
      <c r="AE29" t="s">
        <v>663</v>
      </c>
      <c r="AF29" t="e">
        <f>IF(AND(HOUR(O29)&gt;=1,HOUR(O29)&lt;=13),VLOOKUP(B29,Programacion!$A$8:$S$1048576,16,FALSE),VLOOKUP(B29,Programacion!$A$8:$S$1048576,18,FALSE))</f>
        <v>#REF!</v>
      </c>
      <c r="AG29" t="e">
        <f>IF(AND(HOUR(O29)&gt;=1,HOUR(O29)&lt;=13),VLOOKUP(B29,Programacion!$A$8:$S$1048576,17,FALSE),VLOOKUP(B29,Programacion!$A$8:$S$1048576,19,FALSE))</f>
        <v>#REF!</v>
      </c>
    </row>
    <row r="30" spans="1:33" x14ac:dyDescent="0.25">
      <c r="A30" s="33" t="s">
        <v>697</v>
      </c>
      <c r="B30" t="s">
        <v>483</v>
      </c>
      <c r="C30" t="s">
        <v>698</v>
      </c>
      <c r="D30" t="s">
        <v>557</v>
      </c>
      <c r="E30" t="s">
        <v>558</v>
      </c>
      <c r="F30" t="s">
        <v>699</v>
      </c>
      <c r="G30" t="s">
        <v>560</v>
      </c>
      <c r="H30" t="s">
        <v>561</v>
      </c>
      <c r="I30" t="s">
        <v>700</v>
      </c>
      <c r="L30" t="s">
        <v>701</v>
      </c>
      <c r="M30" t="s">
        <v>564</v>
      </c>
      <c r="N30" t="s">
        <v>565</v>
      </c>
      <c r="O30" t="s">
        <v>702</v>
      </c>
      <c r="P30" t="s">
        <v>703</v>
      </c>
      <c r="Q30" t="s">
        <v>704</v>
      </c>
      <c r="R30" t="s">
        <v>704</v>
      </c>
      <c r="S30" t="s">
        <v>705</v>
      </c>
      <c r="T30" t="s">
        <v>706</v>
      </c>
      <c r="U30" t="s">
        <v>707</v>
      </c>
      <c r="V30" t="s">
        <v>708</v>
      </c>
      <c r="W30" t="s">
        <v>709</v>
      </c>
      <c r="X30" t="s">
        <v>564</v>
      </c>
      <c r="Y30" t="s">
        <v>574</v>
      </c>
      <c r="Z30" t="s">
        <v>574</v>
      </c>
      <c r="AA30" t="s">
        <v>565</v>
      </c>
      <c r="AB30" t="s">
        <v>710</v>
      </c>
      <c r="AC30" t="s">
        <v>588</v>
      </c>
      <c r="AD30" t="s">
        <v>704</v>
      </c>
      <c r="AE30" t="s">
        <v>711</v>
      </c>
      <c r="AF30" t="e">
        <f>IF(AND(HOUR(O30)&gt;=1,HOUR(O30)&lt;=13),VLOOKUP(B30,Programacion!$A$8:$S$1048576,16,FALSE),VLOOKUP(B30,Programacion!$A$8:$S$1048576,18,FALSE))</f>
        <v>#REF!</v>
      </c>
      <c r="AG30" t="e">
        <f>IF(AND(HOUR(O30)&gt;=1,HOUR(O30)&lt;=13),VLOOKUP(B30,Programacion!$A$8:$S$1048576,17,FALSE),VLOOKUP(B30,Programacion!$A$8:$S$1048576,19,FALSE))</f>
        <v>#REF!</v>
      </c>
    </row>
    <row r="31" spans="1:33" x14ac:dyDescent="0.25">
      <c r="A31" s="33" t="s">
        <v>697</v>
      </c>
      <c r="B31" t="s">
        <v>483</v>
      </c>
      <c r="C31" t="s">
        <v>698</v>
      </c>
      <c r="D31" t="s">
        <v>557</v>
      </c>
      <c r="E31" t="s">
        <v>558</v>
      </c>
      <c r="F31" t="s">
        <v>712</v>
      </c>
      <c r="G31" t="s">
        <v>560</v>
      </c>
      <c r="H31" t="s">
        <v>561</v>
      </c>
      <c r="I31" t="s">
        <v>713</v>
      </c>
      <c r="L31" t="s">
        <v>714</v>
      </c>
      <c r="M31" t="s">
        <v>564</v>
      </c>
      <c r="N31" t="s">
        <v>565</v>
      </c>
      <c r="O31" t="s">
        <v>715</v>
      </c>
      <c r="P31" t="s">
        <v>716</v>
      </c>
      <c r="Q31" t="s">
        <v>704</v>
      </c>
      <c r="R31" t="s">
        <v>704</v>
      </c>
      <c r="S31" t="s">
        <v>705</v>
      </c>
      <c r="T31" t="s">
        <v>717</v>
      </c>
      <c r="U31" t="s">
        <v>718</v>
      </c>
      <c r="V31" t="s">
        <v>719</v>
      </c>
      <c r="W31" t="s">
        <v>594</v>
      </c>
      <c r="X31" t="s">
        <v>564</v>
      </c>
      <c r="Y31" t="s">
        <v>574</v>
      </c>
      <c r="Z31" t="s">
        <v>574</v>
      </c>
      <c r="AA31" t="s">
        <v>594</v>
      </c>
      <c r="AB31" t="s">
        <v>720</v>
      </c>
      <c r="AC31" t="s">
        <v>576</v>
      </c>
      <c r="AD31" t="s">
        <v>704</v>
      </c>
      <c r="AE31" t="s">
        <v>711</v>
      </c>
      <c r="AF31" t="e">
        <f>IF(AND(HOUR(O31)&gt;=1,HOUR(O31)&lt;=13),VLOOKUP(B31,Programacion!$A$8:$S$1048576,16,FALSE),VLOOKUP(B31,Programacion!$A$8:$S$1048576,18,FALSE))</f>
        <v>#REF!</v>
      </c>
      <c r="AG31" t="e">
        <f>IF(AND(HOUR(O31)&gt;=1,HOUR(O31)&lt;=13),VLOOKUP(B31,Programacion!$A$8:$S$1048576,17,FALSE),VLOOKUP(B31,Programacion!$A$8:$S$1048576,19,FALSE))</f>
        <v>#REF!</v>
      </c>
    </row>
    <row r="32" spans="1:33" x14ac:dyDescent="0.25">
      <c r="A32" s="33" t="s">
        <v>721</v>
      </c>
      <c r="B32" t="s">
        <v>509</v>
      </c>
      <c r="C32" t="s">
        <v>722</v>
      </c>
      <c r="D32" t="s">
        <v>557</v>
      </c>
      <c r="E32" t="s">
        <v>558</v>
      </c>
      <c r="F32" t="s">
        <v>723</v>
      </c>
      <c r="G32" t="s">
        <v>560</v>
      </c>
      <c r="H32" t="s">
        <v>561</v>
      </c>
      <c r="I32" t="s">
        <v>724</v>
      </c>
      <c r="L32" t="s">
        <v>563</v>
      </c>
      <c r="M32" t="s">
        <v>564</v>
      </c>
      <c r="N32" t="s">
        <v>565</v>
      </c>
      <c r="O32" t="s">
        <v>566</v>
      </c>
      <c r="P32" t="s">
        <v>642</v>
      </c>
      <c r="Q32" t="s">
        <v>704</v>
      </c>
      <c r="R32" t="s">
        <v>704</v>
      </c>
      <c r="S32" t="s">
        <v>725</v>
      </c>
      <c r="T32" t="s">
        <v>726</v>
      </c>
      <c r="U32" t="s">
        <v>633</v>
      </c>
      <c r="V32" t="s">
        <v>727</v>
      </c>
      <c r="W32" t="s">
        <v>645</v>
      </c>
      <c r="X32" t="s">
        <v>564</v>
      </c>
      <c r="Y32" t="s">
        <v>574</v>
      </c>
      <c r="Z32" t="s">
        <v>574</v>
      </c>
      <c r="AA32" t="s">
        <v>565</v>
      </c>
      <c r="AB32" t="s">
        <v>635</v>
      </c>
      <c r="AC32" t="s">
        <v>576</v>
      </c>
      <c r="AD32" t="s">
        <v>704</v>
      </c>
      <c r="AE32" t="s">
        <v>728</v>
      </c>
      <c r="AF32" t="e">
        <f>IF(AND(HOUR(O32)&gt;=1,HOUR(O32)&lt;=13),VLOOKUP(B32,Programacion!$A$8:$S$1048576,16,FALSE),VLOOKUP(B32,Programacion!$A$8:$S$1048576,18,FALSE))</f>
        <v>#REF!</v>
      </c>
      <c r="AG32" t="e">
        <f>IF(AND(HOUR(O32)&gt;=1,HOUR(O32)&lt;=13),VLOOKUP(B32,Programacion!$A$8:$S$1048576,17,FALSE),VLOOKUP(B32,Programacion!$A$8:$S$1048576,19,FALSE))</f>
        <v>#REF!</v>
      </c>
    </row>
    <row r="33" spans="1:33" x14ac:dyDescent="0.25">
      <c r="A33" s="33" t="s">
        <v>721</v>
      </c>
      <c r="B33" t="s">
        <v>509</v>
      </c>
      <c r="C33" t="s">
        <v>722</v>
      </c>
      <c r="D33" t="s">
        <v>557</v>
      </c>
      <c r="E33" t="s">
        <v>558</v>
      </c>
      <c r="F33" t="s">
        <v>729</v>
      </c>
      <c r="G33" t="s">
        <v>560</v>
      </c>
      <c r="H33" t="s">
        <v>561</v>
      </c>
      <c r="I33" t="s">
        <v>730</v>
      </c>
      <c r="L33" t="s">
        <v>581</v>
      </c>
      <c r="M33" t="s">
        <v>564</v>
      </c>
      <c r="N33" t="s">
        <v>565</v>
      </c>
      <c r="O33" t="s">
        <v>715</v>
      </c>
      <c r="P33" t="s">
        <v>582</v>
      </c>
      <c r="Q33" t="s">
        <v>704</v>
      </c>
      <c r="R33" t="s">
        <v>704</v>
      </c>
      <c r="S33" t="s">
        <v>725</v>
      </c>
      <c r="T33" t="s">
        <v>731</v>
      </c>
      <c r="U33" t="s">
        <v>732</v>
      </c>
      <c r="V33" t="s">
        <v>733</v>
      </c>
      <c r="W33" t="s">
        <v>594</v>
      </c>
      <c r="X33" t="s">
        <v>564</v>
      </c>
      <c r="Y33" t="s">
        <v>574</v>
      </c>
      <c r="Z33" t="s">
        <v>574</v>
      </c>
      <c r="AA33" t="s">
        <v>565</v>
      </c>
      <c r="AB33" t="s">
        <v>734</v>
      </c>
      <c r="AC33" t="s">
        <v>576</v>
      </c>
      <c r="AD33" t="s">
        <v>704</v>
      </c>
      <c r="AE33" t="s">
        <v>728</v>
      </c>
      <c r="AF33" t="e">
        <f>IF(AND(HOUR(O33)&gt;=1,HOUR(O33)&lt;=13),VLOOKUP(B33,Programacion!$A$8:$S$1048576,16,FALSE),VLOOKUP(B33,Programacion!$A$8:$S$1048576,18,FALSE))</f>
        <v>#REF!</v>
      </c>
      <c r="AG33" t="e">
        <f>IF(AND(HOUR(O33)&gt;=1,HOUR(O33)&lt;=13),VLOOKUP(B33,Programacion!$A$8:$S$1048576,17,FALSE),VLOOKUP(B33,Programacion!$A$8:$S$1048576,19,FALSE))</f>
        <v>#REF!</v>
      </c>
    </row>
    <row r="34" spans="1:33" x14ac:dyDescent="0.25">
      <c r="A34" s="33" t="s">
        <v>721</v>
      </c>
      <c r="B34" t="s">
        <v>509</v>
      </c>
      <c r="C34" t="s">
        <v>722</v>
      </c>
      <c r="D34" t="s">
        <v>557</v>
      </c>
      <c r="E34" t="s">
        <v>558</v>
      </c>
      <c r="F34" t="s">
        <v>735</v>
      </c>
      <c r="G34" t="s">
        <v>560</v>
      </c>
      <c r="H34" t="s">
        <v>561</v>
      </c>
      <c r="I34" t="s">
        <v>736</v>
      </c>
      <c r="L34" t="s">
        <v>737</v>
      </c>
      <c r="M34" t="s">
        <v>564</v>
      </c>
      <c r="N34" t="s">
        <v>573</v>
      </c>
      <c r="O34" t="s">
        <v>609</v>
      </c>
      <c r="P34" t="s">
        <v>738</v>
      </c>
      <c r="Q34" t="s">
        <v>704</v>
      </c>
      <c r="R34" t="s">
        <v>704</v>
      </c>
      <c r="S34" t="s">
        <v>725</v>
      </c>
      <c r="T34" t="s">
        <v>739</v>
      </c>
      <c r="U34" t="s">
        <v>740</v>
      </c>
      <c r="V34" t="s">
        <v>741</v>
      </c>
      <c r="W34" t="s">
        <v>564</v>
      </c>
      <c r="X34" t="s">
        <v>564</v>
      </c>
      <c r="Y34" t="s">
        <v>574</v>
      </c>
      <c r="Z34" t="s">
        <v>574</v>
      </c>
      <c r="AA34" t="s">
        <v>565</v>
      </c>
      <c r="AB34" t="s">
        <v>613</v>
      </c>
      <c r="AC34" t="s">
        <v>596</v>
      </c>
      <c r="AD34" t="s">
        <v>695</v>
      </c>
      <c r="AE34" t="s">
        <v>696</v>
      </c>
      <c r="AF34" t="e">
        <f>IF(AND(HOUR(O34)&gt;=1,HOUR(O34)&lt;=13),VLOOKUP(B34,Programacion!$A$8:$S$1048576,16,FALSE),VLOOKUP(B34,Programacion!$A$8:$S$1048576,18,FALSE))</f>
        <v>#N/A</v>
      </c>
      <c r="AG34" t="e">
        <f>IF(AND(HOUR(O34)&gt;=1,HOUR(O34)&lt;=13),VLOOKUP(B34,Programacion!$A$8:$S$1048576,17,FALSE),VLOOKUP(B34,Programacion!$A$8:$S$1048576,19,FALSE))</f>
        <v>#N/A</v>
      </c>
    </row>
    <row r="35" spans="1:33" x14ac:dyDescent="0.25">
      <c r="A35" s="33" t="s">
        <v>721</v>
      </c>
      <c r="B35" t="s">
        <v>509</v>
      </c>
      <c r="C35" t="s">
        <v>722</v>
      </c>
      <c r="D35" t="s">
        <v>557</v>
      </c>
      <c r="E35" t="s">
        <v>558</v>
      </c>
      <c r="F35" t="s">
        <v>735</v>
      </c>
      <c r="G35" t="s">
        <v>560</v>
      </c>
      <c r="H35" t="s">
        <v>561</v>
      </c>
      <c r="I35" t="s">
        <v>736</v>
      </c>
      <c r="L35" t="s">
        <v>737</v>
      </c>
      <c r="M35" t="s">
        <v>564</v>
      </c>
      <c r="N35" t="s">
        <v>573</v>
      </c>
      <c r="O35" t="s">
        <v>609</v>
      </c>
      <c r="P35" t="s">
        <v>738</v>
      </c>
      <c r="Q35" t="s">
        <v>704</v>
      </c>
      <c r="R35" t="s">
        <v>704</v>
      </c>
      <c r="S35" t="s">
        <v>725</v>
      </c>
      <c r="T35" t="s">
        <v>739</v>
      </c>
      <c r="U35" t="s">
        <v>740</v>
      </c>
      <c r="V35" t="s">
        <v>741</v>
      </c>
      <c r="W35" t="s">
        <v>564</v>
      </c>
      <c r="X35" t="s">
        <v>564</v>
      </c>
      <c r="Y35" t="s">
        <v>574</v>
      </c>
      <c r="Z35" t="s">
        <v>574</v>
      </c>
      <c r="AA35" t="s">
        <v>565</v>
      </c>
      <c r="AB35" t="s">
        <v>613</v>
      </c>
      <c r="AC35" t="s">
        <v>598</v>
      </c>
      <c r="AD35" t="s">
        <v>742</v>
      </c>
      <c r="AE35" t="s">
        <v>663</v>
      </c>
      <c r="AF35" t="e">
        <f>IF(AND(HOUR(O35)&gt;=1,HOUR(O35)&lt;=13),VLOOKUP(B35,Programacion!$A$8:$S$1048576,16,FALSE),VLOOKUP(B35,Programacion!$A$8:$S$1048576,18,FALSE))</f>
        <v>#N/A</v>
      </c>
      <c r="AG35" t="e">
        <f>IF(AND(HOUR(O35)&gt;=1,HOUR(O35)&lt;=13),VLOOKUP(B35,Programacion!$A$8:$S$1048576,17,FALSE),VLOOKUP(B35,Programacion!$A$8:$S$1048576,19,FALSE))</f>
        <v>#N/A</v>
      </c>
    </row>
    <row r="36" spans="1:33" x14ac:dyDescent="0.25">
      <c r="A36" s="33" t="s">
        <v>721</v>
      </c>
      <c r="B36" t="s">
        <v>509</v>
      </c>
      <c r="C36" t="s">
        <v>722</v>
      </c>
      <c r="D36" t="s">
        <v>557</v>
      </c>
      <c r="E36" t="s">
        <v>558</v>
      </c>
      <c r="F36" t="s">
        <v>735</v>
      </c>
      <c r="G36" t="s">
        <v>560</v>
      </c>
      <c r="H36" t="s">
        <v>561</v>
      </c>
      <c r="I36" t="s">
        <v>736</v>
      </c>
      <c r="L36" t="s">
        <v>737</v>
      </c>
      <c r="M36" t="s">
        <v>564</v>
      </c>
      <c r="N36" t="s">
        <v>573</v>
      </c>
      <c r="O36" t="s">
        <v>609</v>
      </c>
      <c r="P36" t="s">
        <v>738</v>
      </c>
      <c r="Q36" t="s">
        <v>704</v>
      </c>
      <c r="R36" t="s">
        <v>704</v>
      </c>
      <c r="S36" t="s">
        <v>725</v>
      </c>
      <c r="T36" t="s">
        <v>743</v>
      </c>
      <c r="U36" t="s">
        <v>744</v>
      </c>
      <c r="V36" t="s">
        <v>745</v>
      </c>
      <c r="W36" t="s">
        <v>709</v>
      </c>
      <c r="X36" t="s">
        <v>564</v>
      </c>
      <c r="Y36" t="s">
        <v>574</v>
      </c>
      <c r="Z36" t="s">
        <v>574</v>
      </c>
      <c r="AA36" t="s">
        <v>565</v>
      </c>
      <c r="AB36" t="s">
        <v>746</v>
      </c>
      <c r="AC36" t="s">
        <v>596</v>
      </c>
      <c r="AD36" t="s">
        <v>693</v>
      </c>
      <c r="AE36" t="s">
        <v>747</v>
      </c>
      <c r="AF36" t="e">
        <f>IF(AND(HOUR(O36)&gt;=1,HOUR(O36)&lt;=13),VLOOKUP(B36,Programacion!$A$8:$S$1048576,16,FALSE),VLOOKUP(B36,Programacion!$A$8:$S$1048576,18,FALSE))</f>
        <v>#N/A</v>
      </c>
      <c r="AG36" t="e">
        <f>IF(AND(HOUR(O36)&gt;=1,HOUR(O36)&lt;=13),VLOOKUP(B36,Programacion!$A$8:$S$1048576,17,FALSE),VLOOKUP(B36,Programacion!$A$8:$S$1048576,19,FALSE))</f>
        <v>#N/A</v>
      </c>
    </row>
    <row r="37" spans="1:33" x14ac:dyDescent="0.25">
      <c r="A37" s="33" t="s">
        <v>721</v>
      </c>
      <c r="B37" t="s">
        <v>509</v>
      </c>
      <c r="C37" t="s">
        <v>722</v>
      </c>
      <c r="D37" t="s">
        <v>557</v>
      </c>
      <c r="E37" t="s">
        <v>558</v>
      </c>
      <c r="F37" t="s">
        <v>735</v>
      </c>
      <c r="G37" t="s">
        <v>560</v>
      </c>
      <c r="H37" t="s">
        <v>561</v>
      </c>
      <c r="I37" t="s">
        <v>736</v>
      </c>
      <c r="L37" t="s">
        <v>737</v>
      </c>
      <c r="M37" t="s">
        <v>564</v>
      </c>
      <c r="N37" t="s">
        <v>573</v>
      </c>
      <c r="O37" t="s">
        <v>609</v>
      </c>
      <c r="P37" t="s">
        <v>738</v>
      </c>
      <c r="Q37" t="s">
        <v>704</v>
      </c>
      <c r="R37" t="s">
        <v>704</v>
      </c>
      <c r="S37" t="s">
        <v>725</v>
      </c>
      <c r="T37" t="s">
        <v>743</v>
      </c>
      <c r="U37" t="s">
        <v>744</v>
      </c>
      <c r="V37" t="s">
        <v>745</v>
      </c>
      <c r="W37" t="s">
        <v>709</v>
      </c>
      <c r="X37" t="s">
        <v>564</v>
      </c>
      <c r="Y37" t="s">
        <v>574</v>
      </c>
      <c r="Z37" t="s">
        <v>574</v>
      </c>
      <c r="AA37" t="s">
        <v>565</v>
      </c>
      <c r="AB37" t="s">
        <v>746</v>
      </c>
      <c r="AC37" t="s">
        <v>598</v>
      </c>
      <c r="AD37" t="s">
        <v>589</v>
      </c>
      <c r="AE37" t="s">
        <v>748</v>
      </c>
      <c r="AF37" t="e">
        <f>IF(AND(HOUR(O37)&gt;=1,HOUR(O37)&lt;=13),VLOOKUP(B37,Programacion!$A$8:$S$1048576,16,FALSE),VLOOKUP(B37,Programacion!$A$8:$S$1048576,18,FALSE))</f>
        <v>#N/A</v>
      </c>
      <c r="AG37" t="e">
        <f>IF(AND(HOUR(O37)&gt;=1,HOUR(O37)&lt;=13),VLOOKUP(B37,Programacion!$A$8:$S$1048576,17,FALSE),VLOOKUP(B37,Programacion!$A$8:$S$1048576,19,FALSE))</f>
        <v>#N/A</v>
      </c>
    </row>
    <row r="38" spans="1:33" x14ac:dyDescent="0.25">
      <c r="A38" s="33" t="s">
        <v>721</v>
      </c>
      <c r="B38" t="s">
        <v>509</v>
      </c>
      <c r="C38" t="s">
        <v>722</v>
      </c>
      <c r="D38" t="s">
        <v>557</v>
      </c>
      <c r="E38" t="s">
        <v>558</v>
      </c>
      <c r="F38" t="s">
        <v>749</v>
      </c>
      <c r="G38" t="s">
        <v>560</v>
      </c>
      <c r="H38" t="s">
        <v>561</v>
      </c>
      <c r="I38" t="s">
        <v>750</v>
      </c>
      <c r="L38" t="s">
        <v>751</v>
      </c>
      <c r="M38" t="s">
        <v>564</v>
      </c>
      <c r="N38" t="s">
        <v>573</v>
      </c>
      <c r="O38" t="s">
        <v>752</v>
      </c>
      <c r="P38" t="s">
        <v>605</v>
      </c>
      <c r="Q38" t="s">
        <v>704</v>
      </c>
      <c r="R38" t="s">
        <v>704</v>
      </c>
      <c r="S38" t="s">
        <v>725</v>
      </c>
      <c r="T38" t="s">
        <v>753</v>
      </c>
      <c r="U38" t="s">
        <v>754</v>
      </c>
      <c r="V38" t="s">
        <v>755</v>
      </c>
      <c r="W38" t="s">
        <v>586</v>
      </c>
      <c r="X38" t="s">
        <v>564</v>
      </c>
      <c r="Y38" t="s">
        <v>574</v>
      </c>
      <c r="Z38" t="s">
        <v>574</v>
      </c>
      <c r="AA38" t="s">
        <v>565</v>
      </c>
      <c r="AB38" t="s">
        <v>688</v>
      </c>
      <c r="AC38" t="s">
        <v>596</v>
      </c>
      <c r="AD38" t="s">
        <v>589</v>
      </c>
      <c r="AE38" t="s">
        <v>756</v>
      </c>
      <c r="AF38" t="e">
        <f>IF(AND(HOUR(O38)&gt;=1,HOUR(O38)&lt;=13),VLOOKUP(B38,Programacion!$A$8:$S$1048576,16,FALSE),VLOOKUP(B38,Programacion!$A$8:$S$1048576,18,FALSE))</f>
        <v>#N/A</v>
      </c>
      <c r="AG38" t="e">
        <f>IF(AND(HOUR(O38)&gt;=1,HOUR(O38)&lt;=13),VLOOKUP(B38,Programacion!$A$8:$S$1048576,17,FALSE),VLOOKUP(B38,Programacion!$A$8:$S$1048576,19,FALSE))</f>
        <v>#N/A</v>
      </c>
    </row>
    <row r="39" spans="1:33" x14ac:dyDescent="0.25">
      <c r="A39" s="33" t="s">
        <v>721</v>
      </c>
      <c r="B39" t="s">
        <v>509</v>
      </c>
      <c r="C39" t="s">
        <v>722</v>
      </c>
      <c r="D39" t="s">
        <v>557</v>
      </c>
      <c r="E39" t="s">
        <v>558</v>
      </c>
      <c r="F39" t="s">
        <v>749</v>
      </c>
      <c r="G39" t="s">
        <v>560</v>
      </c>
      <c r="H39" t="s">
        <v>561</v>
      </c>
      <c r="I39" t="s">
        <v>750</v>
      </c>
      <c r="L39" t="s">
        <v>751</v>
      </c>
      <c r="M39" t="s">
        <v>564</v>
      </c>
      <c r="N39" t="s">
        <v>573</v>
      </c>
      <c r="O39" t="s">
        <v>752</v>
      </c>
      <c r="P39" t="s">
        <v>605</v>
      </c>
      <c r="Q39" t="s">
        <v>704</v>
      </c>
      <c r="R39" t="s">
        <v>704</v>
      </c>
      <c r="S39" t="s">
        <v>725</v>
      </c>
      <c r="T39" t="s">
        <v>753</v>
      </c>
      <c r="U39" t="s">
        <v>754</v>
      </c>
      <c r="V39" t="s">
        <v>755</v>
      </c>
      <c r="W39" t="s">
        <v>586</v>
      </c>
      <c r="X39" t="s">
        <v>564</v>
      </c>
      <c r="Y39" t="s">
        <v>574</v>
      </c>
      <c r="Z39" t="s">
        <v>574</v>
      </c>
      <c r="AA39" t="s">
        <v>565</v>
      </c>
      <c r="AB39" t="s">
        <v>688</v>
      </c>
      <c r="AC39" t="s">
        <v>588</v>
      </c>
      <c r="AD39" t="s">
        <v>599</v>
      </c>
      <c r="AE39" t="s">
        <v>647</v>
      </c>
      <c r="AF39" t="e">
        <f>IF(AND(HOUR(O39)&gt;=1,HOUR(O39)&lt;=13),VLOOKUP(B39,Programacion!$A$8:$S$1048576,16,FALSE),VLOOKUP(B39,Programacion!$A$8:$S$1048576,18,FALSE))</f>
        <v>#N/A</v>
      </c>
      <c r="AG39" t="e">
        <f>IF(AND(HOUR(O39)&gt;=1,HOUR(O39)&lt;=13),VLOOKUP(B39,Programacion!$A$8:$S$1048576,17,FALSE),VLOOKUP(B39,Programacion!$A$8:$S$1048576,19,FALSE))</f>
        <v>#N/A</v>
      </c>
    </row>
    <row r="40" spans="1:33" x14ac:dyDescent="0.25">
      <c r="A40" s="33" t="s">
        <v>721</v>
      </c>
      <c r="B40" t="s">
        <v>509</v>
      </c>
      <c r="C40" t="s">
        <v>722</v>
      </c>
      <c r="D40" t="s">
        <v>557</v>
      </c>
      <c r="E40" t="s">
        <v>558</v>
      </c>
      <c r="F40" t="s">
        <v>749</v>
      </c>
      <c r="G40" t="s">
        <v>560</v>
      </c>
      <c r="H40" t="s">
        <v>561</v>
      </c>
      <c r="I40" t="s">
        <v>750</v>
      </c>
      <c r="L40" t="s">
        <v>751</v>
      </c>
      <c r="M40" t="s">
        <v>564</v>
      </c>
      <c r="N40" t="s">
        <v>573</v>
      </c>
      <c r="O40" t="s">
        <v>752</v>
      </c>
      <c r="P40" t="s">
        <v>605</v>
      </c>
      <c r="Q40" t="s">
        <v>704</v>
      </c>
      <c r="R40" t="s">
        <v>704</v>
      </c>
      <c r="S40" t="s">
        <v>725</v>
      </c>
      <c r="T40" t="s">
        <v>753</v>
      </c>
      <c r="U40" t="s">
        <v>754</v>
      </c>
      <c r="V40" t="s">
        <v>755</v>
      </c>
      <c r="W40" t="s">
        <v>586</v>
      </c>
      <c r="X40" t="s">
        <v>564</v>
      </c>
      <c r="Y40" t="s">
        <v>574</v>
      </c>
      <c r="Z40" t="s">
        <v>574</v>
      </c>
      <c r="AA40" t="s">
        <v>565</v>
      </c>
      <c r="AB40" t="s">
        <v>688</v>
      </c>
      <c r="AC40" t="s">
        <v>576</v>
      </c>
      <c r="AD40" t="s">
        <v>757</v>
      </c>
      <c r="AE40" t="s">
        <v>758</v>
      </c>
      <c r="AF40" t="e">
        <f>IF(AND(HOUR(O40)&gt;=1,HOUR(O40)&lt;=13),VLOOKUP(B40,Programacion!$A$8:$S$1048576,16,FALSE),VLOOKUP(B40,Programacion!$A$8:$S$1048576,18,FALSE))</f>
        <v>#N/A</v>
      </c>
      <c r="AG40" t="e">
        <f>IF(AND(HOUR(O40)&gt;=1,HOUR(O40)&lt;=13),VLOOKUP(B40,Programacion!$A$8:$S$1048576,17,FALSE),VLOOKUP(B40,Programacion!$A$8:$S$1048576,19,FALSE))</f>
        <v>#N/A</v>
      </c>
    </row>
    <row r="41" spans="1:33" x14ac:dyDescent="0.25">
      <c r="A41" s="33" t="s">
        <v>721</v>
      </c>
      <c r="B41" t="s">
        <v>509</v>
      </c>
      <c r="C41" t="s">
        <v>722</v>
      </c>
      <c r="D41" t="s">
        <v>557</v>
      </c>
      <c r="E41" t="s">
        <v>558</v>
      </c>
      <c r="F41" t="s">
        <v>749</v>
      </c>
      <c r="G41" t="s">
        <v>560</v>
      </c>
      <c r="H41" t="s">
        <v>561</v>
      </c>
      <c r="I41" t="s">
        <v>750</v>
      </c>
      <c r="L41" t="s">
        <v>751</v>
      </c>
      <c r="M41" t="s">
        <v>564</v>
      </c>
      <c r="N41" t="s">
        <v>573</v>
      </c>
      <c r="O41" t="s">
        <v>752</v>
      </c>
      <c r="P41" t="s">
        <v>605</v>
      </c>
      <c r="Q41" t="s">
        <v>704</v>
      </c>
      <c r="R41" t="s">
        <v>704</v>
      </c>
      <c r="S41" t="s">
        <v>725</v>
      </c>
      <c r="T41" t="s">
        <v>753</v>
      </c>
      <c r="U41" t="s">
        <v>754</v>
      </c>
      <c r="V41" t="s">
        <v>755</v>
      </c>
      <c r="W41" t="s">
        <v>586</v>
      </c>
      <c r="X41" t="s">
        <v>564</v>
      </c>
      <c r="Y41" t="s">
        <v>574</v>
      </c>
      <c r="Z41" t="s">
        <v>574</v>
      </c>
      <c r="AA41" t="s">
        <v>565</v>
      </c>
      <c r="AB41" t="s">
        <v>688</v>
      </c>
      <c r="AC41" t="s">
        <v>598</v>
      </c>
      <c r="AD41" t="s">
        <v>742</v>
      </c>
      <c r="AE41" t="s">
        <v>663</v>
      </c>
      <c r="AF41" t="e">
        <f>IF(AND(HOUR(O41)&gt;=1,HOUR(O41)&lt;=13),VLOOKUP(B41,Programacion!$A$8:$S$1048576,16,FALSE),VLOOKUP(B41,Programacion!$A$8:$S$1048576,18,FALSE))</f>
        <v>#N/A</v>
      </c>
      <c r="AG41" t="e">
        <f>IF(AND(HOUR(O41)&gt;=1,HOUR(O41)&lt;=13),VLOOKUP(B41,Programacion!$A$8:$S$1048576,17,FALSE),VLOOKUP(B41,Programacion!$A$8:$S$1048576,19,FALSE))</f>
        <v>#N/A</v>
      </c>
    </row>
    <row r="42" spans="1:33" x14ac:dyDescent="0.25">
      <c r="A42" s="33" t="s">
        <v>759</v>
      </c>
      <c r="B42" t="s">
        <v>521</v>
      </c>
      <c r="C42" t="s">
        <v>760</v>
      </c>
      <c r="D42" t="s">
        <v>557</v>
      </c>
      <c r="E42" t="s">
        <v>558</v>
      </c>
      <c r="F42" t="s">
        <v>761</v>
      </c>
      <c r="G42" t="s">
        <v>560</v>
      </c>
      <c r="H42" t="s">
        <v>561</v>
      </c>
      <c r="I42" t="s">
        <v>762</v>
      </c>
      <c r="L42" t="s">
        <v>701</v>
      </c>
      <c r="M42" t="s">
        <v>564</v>
      </c>
      <c r="N42" t="s">
        <v>565</v>
      </c>
      <c r="O42" t="s">
        <v>702</v>
      </c>
      <c r="P42" t="s">
        <v>605</v>
      </c>
      <c r="Q42" t="s">
        <v>704</v>
      </c>
      <c r="R42" t="s">
        <v>704</v>
      </c>
      <c r="S42" t="s">
        <v>725</v>
      </c>
      <c r="T42" t="s">
        <v>763</v>
      </c>
      <c r="U42" t="s">
        <v>633</v>
      </c>
      <c r="V42" t="s">
        <v>764</v>
      </c>
      <c r="W42" t="s">
        <v>564</v>
      </c>
      <c r="X42" t="s">
        <v>564</v>
      </c>
      <c r="Y42" t="s">
        <v>574</v>
      </c>
      <c r="Z42" t="s">
        <v>574</v>
      </c>
      <c r="AA42" t="s">
        <v>565</v>
      </c>
      <c r="AB42" t="s">
        <v>635</v>
      </c>
      <c r="AC42" t="s">
        <v>576</v>
      </c>
      <c r="AD42" t="s">
        <v>656</v>
      </c>
      <c r="AE42" t="s">
        <v>765</v>
      </c>
      <c r="AF42" t="str">
        <f>IF(AND(HOUR(O42)&gt;=1,HOUR(O42)&lt;=13),VLOOKUP(B42,Programacion!$A$8:$S$1048576,16,FALSE),VLOOKUP(B42,Programacion!$A$8:$S$1048576,18,FALSE))</f>
        <v xml:space="preserve">  1027</v>
      </c>
      <c r="AG42" t="str">
        <f>IF(AND(HOUR(O42)&gt;=1,HOUR(O42)&lt;=13),VLOOKUP(B42,Programacion!$A$8:$S$1048576,17,FALSE),VLOOKUP(B42,Programacion!$A$8:$S$1048576,19,FALSE))</f>
        <v>GB03</v>
      </c>
    </row>
    <row r="43" spans="1:33" x14ac:dyDescent="0.25">
      <c r="A43" s="33" t="s">
        <v>759</v>
      </c>
      <c r="B43" t="s">
        <v>521</v>
      </c>
      <c r="C43" t="s">
        <v>760</v>
      </c>
      <c r="D43" t="s">
        <v>557</v>
      </c>
      <c r="E43" t="s">
        <v>558</v>
      </c>
      <c r="F43" t="s">
        <v>761</v>
      </c>
      <c r="G43" t="s">
        <v>560</v>
      </c>
      <c r="H43" t="s">
        <v>561</v>
      </c>
      <c r="I43" t="s">
        <v>762</v>
      </c>
      <c r="L43" t="s">
        <v>701</v>
      </c>
      <c r="M43" t="s">
        <v>564</v>
      </c>
      <c r="N43" t="s">
        <v>565</v>
      </c>
      <c r="O43" t="s">
        <v>702</v>
      </c>
      <c r="P43" t="s">
        <v>605</v>
      </c>
      <c r="Q43" t="s">
        <v>704</v>
      </c>
      <c r="R43" t="s">
        <v>704</v>
      </c>
      <c r="S43" t="s">
        <v>725</v>
      </c>
      <c r="T43" t="s">
        <v>766</v>
      </c>
      <c r="U43" t="s">
        <v>767</v>
      </c>
      <c r="V43" t="s">
        <v>768</v>
      </c>
      <c r="W43" t="s">
        <v>564</v>
      </c>
      <c r="X43" t="s">
        <v>564</v>
      </c>
      <c r="Y43" t="s">
        <v>574</v>
      </c>
      <c r="Z43" t="s">
        <v>574</v>
      </c>
      <c r="AA43" t="s">
        <v>565</v>
      </c>
      <c r="AB43" t="s">
        <v>769</v>
      </c>
      <c r="AC43" t="s">
        <v>576</v>
      </c>
      <c r="AD43" t="s">
        <v>770</v>
      </c>
      <c r="AE43" t="s">
        <v>771</v>
      </c>
      <c r="AF43" t="str">
        <f>IF(AND(HOUR(O43)&gt;=1,HOUR(O43)&lt;=13),VLOOKUP(B43,Programacion!$A$8:$S$1048576,16,FALSE),VLOOKUP(B43,Programacion!$A$8:$S$1048576,18,FALSE))</f>
        <v xml:space="preserve">  1027</v>
      </c>
      <c r="AG43" t="str">
        <f>IF(AND(HOUR(O43)&gt;=1,HOUR(O43)&lt;=13),VLOOKUP(B43,Programacion!$A$8:$S$1048576,17,FALSE),VLOOKUP(B43,Programacion!$A$8:$S$1048576,19,FALSE))</f>
        <v>GB03</v>
      </c>
    </row>
    <row r="44" spans="1:33" x14ac:dyDescent="0.25">
      <c r="A44" s="33" t="s">
        <v>759</v>
      </c>
      <c r="B44" t="s">
        <v>521</v>
      </c>
      <c r="C44" t="s">
        <v>760</v>
      </c>
      <c r="D44" t="s">
        <v>557</v>
      </c>
      <c r="E44" t="s">
        <v>558</v>
      </c>
      <c r="F44" t="s">
        <v>772</v>
      </c>
      <c r="G44" t="s">
        <v>560</v>
      </c>
      <c r="H44" t="s">
        <v>561</v>
      </c>
      <c r="I44" t="s">
        <v>773</v>
      </c>
      <c r="L44" t="s">
        <v>774</v>
      </c>
      <c r="M44" t="s">
        <v>564</v>
      </c>
      <c r="N44" t="s">
        <v>573</v>
      </c>
      <c r="O44" t="s">
        <v>775</v>
      </c>
      <c r="P44" t="s">
        <v>716</v>
      </c>
      <c r="Q44" t="s">
        <v>704</v>
      </c>
      <c r="R44" t="s">
        <v>704</v>
      </c>
      <c r="S44" t="s">
        <v>725</v>
      </c>
      <c r="T44" t="s">
        <v>776</v>
      </c>
      <c r="U44" t="s">
        <v>777</v>
      </c>
      <c r="V44" t="s">
        <v>778</v>
      </c>
      <c r="W44" t="s">
        <v>779</v>
      </c>
      <c r="X44" t="s">
        <v>564</v>
      </c>
      <c r="Y44" t="s">
        <v>574</v>
      </c>
      <c r="Z44" t="s">
        <v>574</v>
      </c>
      <c r="AA44" t="s">
        <v>565</v>
      </c>
      <c r="AB44" t="s">
        <v>780</v>
      </c>
      <c r="AC44" t="s">
        <v>576</v>
      </c>
      <c r="AD44" t="s">
        <v>781</v>
      </c>
      <c r="AE44" t="s">
        <v>782</v>
      </c>
      <c r="AF44" t="str">
        <f>IF(AND(HOUR(O44)&gt;=1,HOUR(O44)&lt;=13),VLOOKUP(B44,Programacion!$A$8:$S$1048576,16,FALSE),VLOOKUP(B44,Programacion!$A$8:$S$1048576,18,FALSE))</f>
        <v xml:space="preserve">  1027</v>
      </c>
      <c r="AG44" t="str">
        <f>IF(AND(HOUR(O44)&gt;=1,HOUR(O44)&lt;=13),VLOOKUP(B44,Programacion!$A$8:$S$1048576,17,FALSE),VLOOKUP(B44,Programacion!$A$8:$S$1048576,19,FALSE))</f>
        <v>GB03</v>
      </c>
    </row>
    <row r="45" spans="1:33" x14ac:dyDescent="0.25">
      <c r="A45" s="33" t="s">
        <v>759</v>
      </c>
      <c r="B45" t="s">
        <v>521</v>
      </c>
      <c r="C45" t="s">
        <v>760</v>
      </c>
      <c r="D45" t="s">
        <v>557</v>
      </c>
      <c r="E45" t="s">
        <v>558</v>
      </c>
      <c r="F45" t="s">
        <v>772</v>
      </c>
      <c r="G45" t="s">
        <v>560</v>
      </c>
      <c r="H45" t="s">
        <v>561</v>
      </c>
      <c r="I45" t="s">
        <v>773</v>
      </c>
      <c r="L45" t="s">
        <v>774</v>
      </c>
      <c r="M45" t="s">
        <v>564</v>
      </c>
      <c r="N45" t="s">
        <v>573</v>
      </c>
      <c r="O45" t="s">
        <v>775</v>
      </c>
      <c r="P45" t="s">
        <v>716</v>
      </c>
      <c r="Q45" t="s">
        <v>704</v>
      </c>
      <c r="R45" t="s">
        <v>704</v>
      </c>
      <c r="S45" t="s">
        <v>725</v>
      </c>
      <c r="T45" t="s">
        <v>776</v>
      </c>
      <c r="U45" t="s">
        <v>777</v>
      </c>
      <c r="V45" t="s">
        <v>778</v>
      </c>
      <c r="W45" t="s">
        <v>779</v>
      </c>
      <c r="X45" t="s">
        <v>564</v>
      </c>
      <c r="Y45" t="s">
        <v>574</v>
      </c>
      <c r="Z45" t="s">
        <v>574</v>
      </c>
      <c r="AA45" t="s">
        <v>565</v>
      </c>
      <c r="AB45" t="s">
        <v>780</v>
      </c>
      <c r="AC45" t="s">
        <v>588</v>
      </c>
      <c r="AD45" t="s">
        <v>783</v>
      </c>
      <c r="AE45" t="s">
        <v>784</v>
      </c>
      <c r="AF45" t="str">
        <f>IF(AND(HOUR(O45)&gt;=1,HOUR(O45)&lt;=13),VLOOKUP(B45,Programacion!$A$8:$S$1048576,16,FALSE),VLOOKUP(B45,Programacion!$A$8:$S$1048576,18,FALSE))</f>
        <v xml:space="preserve">  1027</v>
      </c>
      <c r="AG45" t="str">
        <f>IF(AND(HOUR(O45)&gt;=1,HOUR(O45)&lt;=13),VLOOKUP(B45,Programacion!$A$8:$S$1048576,17,FALSE),VLOOKUP(B45,Programacion!$A$8:$S$1048576,19,FALSE))</f>
        <v>GB03</v>
      </c>
    </row>
    <row r="46" spans="1:33" x14ac:dyDescent="0.25">
      <c r="A46" s="33" t="s">
        <v>759</v>
      </c>
      <c r="B46" t="s">
        <v>521</v>
      </c>
      <c r="C46" t="s">
        <v>760</v>
      </c>
      <c r="D46" t="s">
        <v>557</v>
      </c>
      <c r="E46" t="s">
        <v>558</v>
      </c>
      <c r="F46" t="s">
        <v>785</v>
      </c>
      <c r="G46" t="s">
        <v>560</v>
      </c>
      <c r="H46" t="s">
        <v>561</v>
      </c>
      <c r="I46" t="s">
        <v>786</v>
      </c>
      <c r="L46" t="s">
        <v>737</v>
      </c>
      <c r="M46" t="s">
        <v>564</v>
      </c>
      <c r="N46" t="s">
        <v>565</v>
      </c>
      <c r="O46" t="s">
        <v>787</v>
      </c>
      <c r="P46" t="s">
        <v>605</v>
      </c>
      <c r="Q46" t="s">
        <v>704</v>
      </c>
      <c r="R46" t="s">
        <v>704</v>
      </c>
      <c r="S46" t="s">
        <v>725</v>
      </c>
      <c r="T46" t="s">
        <v>788</v>
      </c>
      <c r="U46" t="s">
        <v>789</v>
      </c>
      <c r="V46" t="s">
        <v>790</v>
      </c>
      <c r="W46" t="s">
        <v>564</v>
      </c>
      <c r="X46" t="s">
        <v>564</v>
      </c>
      <c r="Y46" t="s">
        <v>574</v>
      </c>
      <c r="Z46" t="s">
        <v>574</v>
      </c>
      <c r="AA46" t="s">
        <v>565</v>
      </c>
      <c r="AB46" t="s">
        <v>791</v>
      </c>
      <c r="AC46" t="s">
        <v>576</v>
      </c>
      <c r="AD46" t="s">
        <v>792</v>
      </c>
      <c r="AE46" t="s">
        <v>793</v>
      </c>
      <c r="AF46" t="str">
        <f>IF(AND(HOUR(O46)&gt;=1,HOUR(O46)&lt;=13),VLOOKUP(B46,Programacion!$A$8:$S$1048576,16,FALSE),VLOOKUP(B46,Programacion!$A$8:$S$1048576,18,FALSE))</f>
        <v xml:space="preserve">  2261</v>
      </c>
      <c r="AG46" t="str">
        <f>IF(AND(HOUR(O46)&gt;=1,HOUR(O46)&lt;=13),VLOOKUP(B46,Programacion!$A$8:$S$1048576,17,FALSE),VLOOKUP(B46,Programacion!$A$8:$S$1048576,19,FALSE))</f>
        <v>GB01</v>
      </c>
    </row>
    <row r="47" spans="1:33" x14ac:dyDescent="0.25">
      <c r="A47" s="33" t="s">
        <v>759</v>
      </c>
      <c r="B47" t="s">
        <v>521</v>
      </c>
      <c r="C47" t="s">
        <v>760</v>
      </c>
      <c r="D47" t="s">
        <v>557</v>
      </c>
      <c r="E47" t="s">
        <v>558</v>
      </c>
      <c r="F47" t="s">
        <v>785</v>
      </c>
      <c r="G47" t="s">
        <v>560</v>
      </c>
      <c r="H47" t="s">
        <v>561</v>
      </c>
      <c r="I47" t="s">
        <v>786</v>
      </c>
      <c r="L47" t="s">
        <v>737</v>
      </c>
      <c r="M47" t="s">
        <v>564</v>
      </c>
      <c r="N47" t="s">
        <v>565</v>
      </c>
      <c r="O47" t="s">
        <v>787</v>
      </c>
      <c r="P47" t="s">
        <v>605</v>
      </c>
      <c r="Q47" t="s">
        <v>704</v>
      </c>
      <c r="R47" t="s">
        <v>704</v>
      </c>
      <c r="S47" t="s">
        <v>725</v>
      </c>
      <c r="T47" t="s">
        <v>794</v>
      </c>
      <c r="U47" t="s">
        <v>795</v>
      </c>
      <c r="V47" t="s">
        <v>796</v>
      </c>
      <c r="W47" t="s">
        <v>586</v>
      </c>
      <c r="X47" t="s">
        <v>564</v>
      </c>
      <c r="Y47" t="s">
        <v>574</v>
      </c>
      <c r="Z47" t="s">
        <v>574</v>
      </c>
      <c r="AA47" t="s">
        <v>565</v>
      </c>
      <c r="AB47" t="s">
        <v>797</v>
      </c>
      <c r="AC47" t="s">
        <v>576</v>
      </c>
      <c r="AD47" t="s">
        <v>798</v>
      </c>
      <c r="AE47" t="s">
        <v>618</v>
      </c>
      <c r="AF47" t="str">
        <f>IF(AND(HOUR(O47)&gt;=1,HOUR(O47)&lt;=13),VLOOKUP(B47,Programacion!$A$8:$S$1048576,16,FALSE),VLOOKUP(B47,Programacion!$A$8:$S$1048576,18,FALSE))</f>
        <v xml:space="preserve">  2261</v>
      </c>
      <c r="AG47" t="str">
        <f>IF(AND(HOUR(O47)&gt;=1,HOUR(O47)&lt;=13),VLOOKUP(B47,Programacion!$A$8:$S$1048576,17,FALSE),VLOOKUP(B47,Programacion!$A$8:$S$1048576,19,FALSE))</f>
        <v>GB01</v>
      </c>
    </row>
    <row r="48" spans="1:33" x14ac:dyDescent="0.25">
      <c r="A48" s="33" t="s">
        <v>759</v>
      </c>
      <c r="B48" t="s">
        <v>521</v>
      </c>
      <c r="C48" t="s">
        <v>760</v>
      </c>
      <c r="D48" t="s">
        <v>557</v>
      </c>
      <c r="E48" t="s">
        <v>558</v>
      </c>
      <c r="F48" t="s">
        <v>799</v>
      </c>
      <c r="G48" t="s">
        <v>560</v>
      </c>
      <c r="H48" t="s">
        <v>561</v>
      </c>
      <c r="I48" t="s">
        <v>800</v>
      </c>
      <c r="L48" t="s">
        <v>683</v>
      </c>
      <c r="M48" t="s">
        <v>564</v>
      </c>
      <c r="N48" t="s">
        <v>573</v>
      </c>
      <c r="O48" t="s">
        <v>801</v>
      </c>
      <c r="P48" t="s">
        <v>642</v>
      </c>
      <c r="Q48" t="s">
        <v>704</v>
      </c>
      <c r="R48" t="s">
        <v>704</v>
      </c>
      <c r="S48" t="s">
        <v>725</v>
      </c>
      <c r="T48" t="s">
        <v>802</v>
      </c>
      <c r="U48" t="s">
        <v>803</v>
      </c>
      <c r="V48" t="s">
        <v>804</v>
      </c>
      <c r="W48" t="s">
        <v>564</v>
      </c>
      <c r="X48" t="s">
        <v>564</v>
      </c>
      <c r="Y48" t="s">
        <v>574</v>
      </c>
      <c r="Z48" t="s">
        <v>574</v>
      </c>
      <c r="AA48" t="s">
        <v>565</v>
      </c>
      <c r="AB48" t="s">
        <v>805</v>
      </c>
      <c r="AC48" t="s">
        <v>576</v>
      </c>
      <c r="AD48" t="s">
        <v>798</v>
      </c>
      <c r="AE48" t="s">
        <v>618</v>
      </c>
      <c r="AF48" t="str">
        <f>IF(AND(HOUR(O48)&gt;=1,HOUR(O48)&lt;=13),VLOOKUP(B48,Programacion!$A$8:$S$1048576,16,FALSE),VLOOKUP(B48,Programacion!$A$8:$S$1048576,18,FALSE))</f>
        <v xml:space="preserve">  2261</v>
      </c>
      <c r="AG48" t="str">
        <f>IF(AND(HOUR(O48)&gt;=1,HOUR(O48)&lt;=13),VLOOKUP(B48,Programacion!$A$8:$S$1048576,17,FALSE),VLOOKUP(B48,Programacion!$A$8:$S$1048576,19,FALSE))</f>
        <v>GB01</v>
      </c>
    </row>
    <row r="49" spans="1:33" x14ac:dyDescent="0.25">
      <c r="A49" s="33" t="s">
        <v>759</v>
      </c>
      <c r="B49" t="s">
        <v>521</v>
      </c>
      <c r="C49" t="s">
        <v>760</v>
      </c>
      <c r="D49" t="s">
        <v>557</v>
      </c>
      <c r="E49" t="s">
        <v>558</v>
      </c>
      <c r="F49" t="s">
        <v>799</v>
      </c>
      <c r="G49" t="s">
        <v>560</v>
      </c>
      <c r="H49" t="s">
        <v>561</v>
      </c>
      <c r="I49" t="s">
        <v>800</v>
      </c>
      <c r="L49" t="s">
        <v>683</v>
      </c>
      <c r="M49" t="s">
        <v>564</v>
      </c>
      <c r="N49" t="s">
        <v>573</v>
      </c>
      <c r="O49" t="s">
        <v>801</v>
      </c>
      <c r="P49" t="s">
        <v>642</v>
      </c>
      <c r="Q49" t="s">
        <v>704</v>
      </c>
      <c r="R49" t="s">
        <v>704</v>
      </c>
      <c r="S49" t="s">
        <v>725</v>
      </c>
      <c r="T49" t="s">
        <v>802</v>
      </c>
      <c r="U49" t="s">
        <v>803</v>
      </c>
      <c r="V49" t="s">
        <v>804</v>
      </c>
      <c r="W49" t="s">
        <v>564</v>
      </c>
      <c r="X49" t="s">
        <v>564</v>
      </c>
      <c r="Y49" t="s">
        <v>574</v>
      </c>
      <c r="Z49" t="s">
        <v>574</v>
      </c>
      <c r="AA49" t="s">
        <v>565</v>
      </c>
      <c r="AB49" t="s">
        <v>805</v>
      </c>
      <c r="AC49" t="s">
        <v>588</v>
      </c>
      <c r="AD49" t="s">
        <v>695</v>
      </c>
      <c r="AE49" t="s">
        <v>696</v>
      </c>
      <c r="AF49" t="str">
        <f>IF(AND(HOUR(O49)&gt;=1,HOUR(O49)&lt;=13),VLOOKUP(B49,Programacion!$A$8:$S$1048576,16,FALSE),VLOOKUP(B49,Programacion!$A$8:$S$1048576,18,FALSE))</f>
        <v xml:space="preserve">  2261</v>
      </c>
      <c r="AG49" t="str">
        <f>IF(AND(HOUR(O49)&gt;=1,HOUR(O49)&lt;=13),VLOOKUP(B49,Programacion!$A$8:$S$1048576,17,FALSE),VLOOKUP(B49,Programacion!$A$8:$S$1048576,19,FALSE))</f>
        <v>GB01</v>
      </c>
    </row>
    <row r="50" spans="1:33" x14ac:dyDescent="0.25">
      <c r="A50" s="33" t="s">
        <v>759</v>
      </c>
      <c r="B50" t="s">
        <v>521</v>
      </c>
      <c r="C50" t="s">
        <v>760</v>
      </c>
      <c r="D50" t="s">
        <v>557</v>
      </c>
      <c r="E50" t="s">
        <v>558</v>
      </c>
      <c r="F50" t="s">
        <v>799</v>
      </c>
      <c r="G50" t="s">
        <v>560</v>
      </c>
      <c r="H50" t="s">
        <v>561</v>
      </c>
      <c r="I50" t="s">
        <v>800</v>
      </c>
      <c r="L50" t="s">
        <v>683</v>
      </c>
      <c r="M50" t="s">
        <v>564</v>
      </c>
      <c r="N50" t="s">
        <v>573</v>
      </c>
      <c r="O50" t="s">
        <v>801</v>
      </c>
      <c r="P50" t="s">
        <v>642</v>
      </c>
      <c r="Q50" t="s">
        <v>704</v>
      </c>
      <c r="R50" t="s">
        <v>704</v>
      </c>
      <c r="S50" t="s">
        <v>725</v>
      </c>
      <c r="T50" t="s">
        <v>802</v>
      </c>
      <c r="U50" t="s">
        <v>803</v>
      </c>
      <c r="V50" t="s">
        <v>804</v>
      </c>
      <c r="W50" t="s">
        <v>564</v>
      </c>
      <c r="X50" t="s">
        <v>564</v>
      </c>
      <c r="Y50" t="s">
        <v>574</v>
      </c>
      <c r="Z50" t="s">
        <v>574</v>
      </c>
      <c r="AA50" t="s">
        <v>565</v>
      </c>
      <c r="AB50" t="s">
        <v>805</v>
      </c>
      <c r="AC50" t="s">
        <v>596</v>
      </c>
      <c r="AD50" t="s">
        <v>742</v>
      </c>
      <c r="AE50" t="s">
        <v>663</v>
      </c>
      <c r="AF50" t="str">
        <f>IF(AND(HOUR(O50)&gt;=1,HOUR(O50)&lt;=13),VLOOKUP(B50,Programacion!$A$8:$S$1048576,16,FALSE),VLOOKUP(B50,Programacion!$A$8:$S$1048576,18,FALSE))</f>
        <v xml:space="preserve">  2261</v>
      </c>
      <c r="AG50" t="str">
        <f>IF(AND(HOUR(O50)&gt;=1,HOUR(O50)&lt;=13),VLOOKUP(B50,Programacion!$A$8:$S$1048576,17,FALSE),VLOOKUP(B50,Programacion!$A$8:$S$1048576,19,FALSE))</f>
        <v>GB01</v>
      </c>
    </row>
    <row r="51" spans="1:33" x14ac:dyDescent="0.25">
      <c r="A51" s="33" t="s">
        <v>759</v>
      </c>
      <c r="B51" t="s">
        <v>521</v>
      </c>
      <c r="C51" t="s">
        <v>760</v>
      </c>
      <c r="D51" t="s">
        <v>557</v>
      </c>
      <c r="E51" t="s">
        <v>558</v>
      </c>
      <c r="F51" t="s">
        <v>799</v>
      </c>
      <c r="G51" t="s">
        <v>560</v>
      </c>
      <c r="H51" t="s">
        <v>561</v>
      </c>
      <c r="I51" t="s">
        <v>800</v>
      </c>
      <c r="L51" t="s">
        <v>683</v>
      </c>
      <c r="M51" t="s">
        <v>564</v>
      </c>
      <c r="N51" t="s">
        <v>573</v>
      </c>
      <c r="O51" t="s">
        <v>801</v>
      </c>
      <c r="P51" t="s">
        <v>642</v>
      </c>
      <c r="Q51" t="s">
        <v>704</v>
      </c>
      <c r="R51" t="s">
        <v>704</v>
      </c>
      <c r="S51" t="s">
        <v>725</v>
      </c>
      <c r="T51" t="s">
        <v>806</v>
      </c>
      <c r="U51" t="s">
        <v>807</v>
      </c>
      <c r="V51" t="s">
        <v>808</v>
      </c>
      <c r="W51" t="s">
        <v>645</v>
      </c>
      <c r="X51" t="s">
        <v>564</v>
      </c>
      <c r="Y51" t="s">
        <v>574</v>
      </c>
      <c r="Z51" t="s">
        <v>574</v>
      </c>
      <c r="AA51" t="s">
        <v>565</v>
      </c>
      <c r="AB51" t="s">
        <v>809</v>
      </c>
      <c r="AC51" t="s">
        <v>596</v>
      </c>
      <c r="AD51" t="s">
        <v>599</v>
      </c>
      <c r="AE51" t="s">
        <v>651</v>
      </c>
      <c r="AF51" t="str">
        <f>IF(AND(HOUR(O51)&gt;=1,HOUR(O51)&lt;=13),VLOOKUP(B51,Programacion!$A$8:$S$1048576,16,FALSE),VLOOKUP(B51,Programacion!$A$8:$S$1048576,18,FALSE))</f>
        <v xml:space="preserve">  2261</v>
      </c>
      <c r="AG51" t="str">
        <f>IF(AND(HOUR(O51)&gt;=1,HOUR(O51)&lt;=13),VLOOKUP(B51,Programacion!$A$8:$S$1048576,17,FALSE),VLOOKUP(B51,Programacion!$A$8:$S$1048576,19,FALSE))</f>
        <v>GB01</v>
      </c>
    </row>
    <row r="52" spans="1:33" x14ac:dyDescent="0.25">
      <c r="A52" s="33" t="s">
        <v>759</v>
      </c>
      <c r="B52" t="s">
        <v>521</v>
      </c>
      <c r="C52" t="s">
        <v>760</v>
      </c>
      <c r="D52" t="s">
        <v>557</v>
      </c>
      <c r="E52" t="s">
        <v>558</v>
      </c>
      <c r="F52" t="s">
        <v>799</v>
      </c>
      <c r="G52" t="s">
        <v>560</v>
      </c>
      <c r="H52" t="s">
        <v>561</v>
      </c>
      <c r="I52" t="s">
        <v>800</v>
      </c>
      <c r="L52" t="s">
        <v>683</v>
      </c>
      <c r="M52" t="s">
        <v>564</v>
      </c>
      <c r="N52" t="s">
        <v>573</v>
      </c>
      <c r="O52" t="s">
        <v>801</v>
      </c>
      <c r="P52" t="s">
        <v>642</v>
      </c>
      <c r="Q52" t="s">
        <v>704</v>
      </c>
      <c r="R52" t="s">
        <v>704</v>
      </c>
      <c r="S52" t="s">
        <v>725</v>
      </c>
      <c r="T52" t="s">
        <v>806</v>
      </c>
      <c r="U52" t="s">
        <v>807</v>
      </c>
      <c r="V52" t="s">
        <v>808</v>
      </c>
      <c r="W52" t="s">
        <v>645</v>
      </c>
      <c r="X52" t="s">
        <v>564</v>
      </c>
      <c r="Y52" t="s">
        <v>574</v>
      </c>
      <c r="Z52" t="s">
        <v>574</v>
      </c>
      <c r="AA52" t="s">
        <v>565</v>
      </c>
      <c r="AB52" t="s">
        <v>809</v>
      </c>
      <c r="AC52" t="s">
        <v>576</v>
      </c>
      <c r="AD52" t="s">
        <v>599</v>
      </c>
      <c r="AE52" t="s">
        <v>647</v>
      </c>
      <c r="AF52" t="str">
        <f>IF(AND(HOUR(O52)&gt;=1,HOUR(O52)&lt;=13),VLOOKUP(B52,Programacion!$A$8:$S$1048576,16,FALSE),VLOOKUP(B52,Programacion!$A$8:$S$1048576,18,FALSE))</f>
        <v xml:space="preserve">  2261</v>
      </c>
      <c r="AG52" t="str">
        <f>IF(AND(HOUR(O52)&gt;=1,HOUR(O52)&lt;=13),VLOOKUP(B52,Programacion!$A$8:$S$1048576,17,FALSE),VLOOKUP(B52,Programacion!$A$8:$S$1048576,19,FALSE))</f>
        <v>GB01</v>
      </c>
    </row>
    <row r="53" spans="1:33" x14ac:dyDescent="0.25">
      <c r="A53" s="33" t="s">
        <v>759</v>
      </c>
      <c r="B53" t="s">
        <v>521</v>
      </c>
      <c r="C53" t="s">
        <v>760</v>
      </c>
      <c r="D53" t="s">
        <v>557</v>
      </c>
      <c r="E53" t="s">
        <v>558</v>
      </c>
      <c r="F53" t="s">
        <v>799</v>
      </c>
      <c r="G53" t="s">
        <v>560</v>
      </c>
      <c r="H53" t="s">
        <v>561</v>
      </c>
      <c r="I53" t="s">
        <v>800</v>
      </c>
      <c r="L53" t="s">
        <v>683</v>
      </c>
      <c r="M53" t="s">
        <v>564</v>
      </c>
      <c r="N53" t="s">
        <v>573</v>
      </c>
      <c r="O53" t="s">
        <v>801</v>
      </c>
      <c r="P53" t="s">
        <v>642</v>
      </c>
      <c r="Q53" t="s">
        <v>704</v>
      </c>
      <c r="R53" t="s">
        <v>704</v>
      </c>
      <c r="S53" t="s">
        <v>725</v>
      </c>
      <c r="T53" t="s">
        <v>806</v>
      </c>
      <c r="U53" t="s">
        <v>807</v>
      </c>
      <c r="V53" t="s">
        <v>808</v>
      </c>
      <c r="W53" t="s">
        <v>645</v>
      </c>
      <c r="X53" t="s">
        <v>564</v>
      </c>
      <c r="Y53" t="s">
        <v>574</v>
      </c>
      <c r="Z53" t="s">
        <v>574</v>
      </c>
      <c r="AA53" t="s">
        <v>565</v>
      </c>
      <c r="AB53" t="s">
        <v>809</v>
      </c>
      <c r="AC53" t="s">
        <v>598</v>
      </c>
      <c r="AD53" t="s">
        <v>599</v>
      </c>
      <c r="AE53" t="s">
        <v>600</v>
      </c>
      <c r="AF53" t="str">
        <f>IF(AND(HOUR(O53)&gt;=1,HOUR(O53)&lt;=13),VLOOKUP(B53,Programacion!$A$8:$S$1048576,16,FALSE),VLOOKUP(B53,Programacion!$A$8:$S$1048576,18,FALSE))</f>
        <v xml:space="preserve">  2261</v>
      </c>
      <c r="AG53" t="str">
        <f>IF(AND(HOUR(O53)&gt;=1,HOUR(O53)&lt;=13),VLOOKUP(B53,Programacion!$A$8:$S$1048576,17,FALSE),VLOOKUP(B53,Programacion!$A$8:$S$1048576,19,FALSE))</f>
        <v>GB01</v>
      </c>
    </row>
    <row r="54" spans="1:33" x14ac:dyDescent="0.25">
      <c r="A54" s="33" t="s">
        <v>196</v>
      </c>
      <c r="B54" t="s">
        <v>513</v>
      </c>
      <c r="C54" t="s">
        <v>810</v>
      </c>
      <c r="D54" t="s">
        <v>557</v>
      </c>
      <c r="E54" t="s">
        <v>558</v>
      </c>
      <c r="F54" t="s">
        <v>811</v>
      </c>
      <c r="G54" t="s">
        <v>560</v>
      </c>
      <c r="H54" t="s">
        <v>561</v>
      </c>
      <c r="I54" t="s">
        <v>812</v>
      </c>
      <c r="L54" t="s">
        <v>701</v>
      </c>
      <c r="M54" t="s">
        <v>564</v>
      </c>
      <c r="N54" t="s">
        <v>565</v>
      </c>
      <c r="O54" t="s">
        <v>702</v>
      </c>
      <c r="P54" t="s">
        <v>582</v>
      </c>
      <c r="Q54" t="s">
        <v>704</v>
      </c>
      <c r="R54" t="s">
        <v>704</v>
      </c>
      <c r="S54" t="s">
        <v>725</v>
      </c>
      <c r="T54" t="s">
        <v>813</v>
      </c>
      <c r="U54" t="s">
        <v>814</v>
      </c>
      <c r="V54" t="s">
        <v>815</v>
      </c>
      <c r="W54" t="s">
        <v>594</v>
      </c>
      <c r="X54" t="s">
        <v>564</v>
      </c>
      <c r="Y54" t="s">
        <v>574</v>
      </c>
      <c r="Z54" t="s">
        <v>574</v>
      </c>
      <c r="AA54" t="s">
        <v>565</v>
      </c>
      <c r="AB54" t="s">
        <v>580</v>
      </c>
      <c r="AC54" t="s">
        <v>588</v>
      </c>
      <c r="AD54" t="s">
        <v>704</v>
      </c>
      <c r="AE54" t="s">
        <v>816</v>
      </c>
      <c r="AF54" t="str">
        <f>IF(AND(HOUR(O54)&gt;=1,HOUR(O54)&lt;=13),VLOOKUP(B54,Programacion!$A$8:$S$1048576,16,FALSE),VLOOKUP(B54,Programacion!$A$8:$S$1048576,18,FALSE))</f>
        <v xml:space="preserve">  2004</v>
      </c>
      <c r="AG54" t="str">
        <f>IF(AND(HOUR(O54)&gt;=1,HOUR(O54)&lt;=13),VLOOKUP(B54,Programacion!$A$8:$S$1048576,17,FALSE),VLOOKUP(B54,Programacion!$A$8:$S$1048576,19,FALSE))</f>
        <v>GB01</v>
      </c>
    </row>
    <row r="55" spans="1:33" x14ac:dyDescent="0.25">
      <c r="A55" s="33" t="s">
        <v>196</v>
      </c>
      <c r="B55" t="s">
        <v>513</v>
      </c>
      <c r="C55" t="s">
        <v>810</v>
      </c>
      <c r="D55" t="s">
        <v>557</v>
      </c>
      <c r="E55" t="s">
        <v>558</v>
      </c>
      <c r="F55" t="s">
        <v>817</v>
      </c>
      <c r="G55" t="s">
        <v>560</v>
      </c>
      <c r="H55" t="s">
        <v>561</v>
      </c>
      <c r="I55" t="s">
        <v>818</v>
      </c>
      <c r="L55" t="s">
        <v>715</v>
      </c>
      <c r="M55" t="s">
        <v>564</v>
      </c>
      <c r="N55" t="s">
        <v>573</v>
      </c>
      <c r="O55" t="s">
        <v>819</v>
      </c>
      <c r="P55" t="s">
        <v>738</v>
      </c>
      <c r="Q55" t="s">
        <v>704</v>
      </c>
      <c r="R55" t="s">
        <v>704</v>
      </c>
      <c r="S55" t="s">
        <v>725</v>
      </c>
      <c r="T55" t="s">
        <v>820</v>
      </c>
      <c r="U55" t="s">
        <v>718</v>
      </c>
      <c r="V55" t="s">
        <v>821</v>
      </c>
      <c r="W55" t="s">
        <v>586</v>
      </c>
      <c r="X55" t="s">
        <v>564</v>
      </c>
      <c r="Y55" t="s">
        <v>574</v>
      </c>
      <c r="Z55" t="s">
        <v>574</v>
      </c>
      <c r="AA55" t="s">
        <v>565</v>
      </c>
      <c r="AB55" t="s">
        <v>822</v>
      </c>
      <c r="AC55" t="s">
        <v>576</v>
      </c>
      <c r="AD55" t="s">
        <v>823</v>
      </c>
      <c r="AE55" t="s">
        <v>824</v>
      </c>
      <c r="AF55" t="str">
        <f>IF(AND(HOUR(O55)&gt;=1,HOUR(O55)&lt;=13),VLOOKUP(B55,Programacion!$A$8:$S$1048576,16,FALSE),VLOOKUP(B55,Programacion!$A$8:$S$1048576,18,FALSE))</f>
        <v xml:space="preserve">  2004</v>
      </c>
      <c r="AG55" t="str">
        <f>IF(AND(HOUR(O55)&gt;=1,HOUR(O55)&lt;=13),VLOOKUP(B55,Programacion!$A$8:$S$1048576,17,FALSE),VLOOKUP(B55,Programacion!$A$8:$S$1048576,19,FALSE))</f>
        <v>GB01</v>
      </c>
    </row>
    <row r="56" spans="1:33" x14ac:dyDescent="0.25">
      <c r="A56" s="33" t="s">
        <v>196</v>
      </c>
      <c r="B56" t="s">
        <v>513</v>
      </c>
      <c r="C56" t="s">
        <v>810</v>
      </c>
      <c r="D56" t="s">
        <v>557</v>
      </c>
      <c r="E56" t="s">
        <v>558</v>
      </c>
      <c r="F56" t="s">
        <v>817</v>
      </c>
      <c r="G56" t="s">
        <v>560</v>
      </c>
      <c r="H56" t="s">
        <v>561</v>
      </c>
      <c r="I56" t="s">
        <v>818</v>
      </c>
      <c r="L56" t="s">
        <v>715</v>
      </c>
      <c r="M56" t="s">
        <v>564</v>
      </c>
      <c r="N56" t="s">
        <v>573</v>
      </c>
      <c r="O56" t="s">
        <v>819</v>
      </c>
      <c r="P56" t="s">
        <v>738</v>
      </c>
      <c r="Q56" t="s">
        <v>704</v>
      </c>
      <c r="R56" t="s">
        <v>704</v>
      </c>
      <c r="S56" t="s">
        <v>725</v>
      </c>
      <c r="T56" t="s">
        <v>825</v>
      </c>
      <c r="U56" t="s">
        <v>826</v>
      </c>
      <c r="V56" t="s">
        <v>827</v>
      </c>
      <c r="W56" t="s">
        <v>828</v>
      </c>
      <c r="X56" t="s">
        <v>564</v>
      </c>
      <c r="Y56" t="s">
        <v>574</v>
      </c>
      <c r="Z56" t="s">
        <v>574</v>
      </c>
      <c r="AA56" t="s">
        <v>565</v>
      </c>
      <c r="AB56" t="s">
        <v>720</v>
      </c>
      <c r="AC56" t="s">
        <v>588</v>
      </c>
      <c r="AD56" t="s">
        <v>829</v>
      </c>
      <c r="AE56" t="s">
        <v>830</v>
      </c>
      <c r="AF56" t="str">
        <f>IF(AND(HOUR(O56)&gt;=1,HOUR(O56)&lt;=13),VLOOKUP(B56,Programacion!$A$8:$S$1048576,16,FALSE),VLOOKUP(B56,Programacion!$A$8:$S$1048576,18,FALSE))</f>
        <v xml:space="preserve">  2004</v>
      </c>
      <c r="AG56" t="str">
        <f>IF(AND(HOUR(O56)&gt;=1,HOUR(O56)&lt;=13),VLOOKUP(B56,Programacion!$A$8:$S$1048576,17,FALSE),VLOOKUP(B56,Programacion!$A$8:$S$1048576,19,FALSE))</f>
        <v>GB01</v>
      </c>
    </row>
    <row r="57" spans="1:33" x14ac:dyDescent="0.25">
      <c r="A57" s="33" t="s">
        <v>196</v>
      </c>
      <c r="B57" t="s">
        <v>513</v>
      </c>
      <c r="C57" t="s">
        <v>810</v>
      </c>
      <c r="D57" t="s">
        <v>557</v>
      </c>
      <c r="E57" t="s">
        <v>558</v>
      </c>
      <c r="F57" t="s">
        <v>831</v>
      </c>
      <c r="G57" t="s">
        <v>560</v>
      </c>
      <c r="H57" t="s">
        <v>561</v>
      </c>
      <c r="I57" t="s">
        <v>832</v>
      </c>
      <c r="L57" t="s">
        <v>737</v>
      </c>
      <c r="M57" t="s">
        <v>564</v>
      </c>
      <c r="N57" t="s">
        <v>573</v>
      </c>
      <c r="O57" t="s">
        <v>609</v>
      </c>
      <c r="P57" t="s">
        <v>833</v>
      </c>
      <c r="Q57" t="s">
        <v>704</v>
      </c>
      <c r="R57" t="s">
        <v>704</v>
      </c>
      <c r="S57" t="s">
        <v>725</v>
      </c>
      <c r="T57" t="s">
        <v>834</v>
      </c>
      <c r="U57" t="s">
        <v>835</v>
      </c>
      <c r="V57" t="s">
        <v>836</v>
      </c>
      <c r="W57" t="s">
        <v>837</v>
      </c>
      <c r="X57" t="s">
        <v>564</v>
      </c>
      <c r="Y57" t="s">
        <v>574</v>
      </c>
      <c r="Z57" t="s">
        <v>574</v>
      </c>
      <c r="AA57" t="s">
        <v>565</v>
      </c>
      <c r="AB57" t="s">
        <v>617</v>
      </c>
      <c r="AC57" t="s">
        <v>596</v>
      </c>
      <c r="AD57" t="s">
        <v>838</v>
      </c>
      <c r="AE57" t="s">
        <v>839</v>
      </c>
      <c r="AF57" t="str">
        <f>IF(AND(HOUR(O57)&gt;=1,HOUR(O57)&lt;=13),VLOOKUP(B57,Programacion!$A$8:$S$1048576,16,FALSE),VLOOKUP(B57,Programacion!$A$8:$S$1048576,18,FALSE))</f>
        <v xml:space="preserve">  1666</v>
      </c>
      <c r="AG57" t="str">
        <f>IF(AND(HOUR(O57)&gt;=1,HOUR(O57)&lt;=13),VLOOKUP(B57,Programacion!$A$8:$S$1048576,17,FALSE),VLOOKUP(B57,Programacion!$A$8:$S$1048576,19,FALSE))</f>
        <v>GB01</v>
      </c>
    </row>
    <row r="58" spans="1:33" x14ac:dyDescent="0.25">
      <c r="A58" s="33" t="s">
        <v>196</v>
      </c>
      <c r="B58" t="s">
        <v>513</v>
      </c>
      <c r="C58" t="s">
        <v>810</v>
      </c>
      <c r="D58" t="s">
        <v>557</v>
      </c>
      <c r="E58" t="s">
        <v>558</v>
      </c>
      <c r="F58" t="s">
        <v>831</v>
      </c>
      <c r="G58" t="s">
        <v>560</v>
      </c>
      <c r="H58" t="s">
        <v>561</v>
      </c>
      <c r="I58" t="s">
        <v>832</v>
      </c>
      <c r="L58" t="s">
        <v>737</v>
      </c>
      <c r="M58" t="s">
        <v>564</v>
      </c>
      <c r="N58" t="s">
        <v>573</v>
      </c>
      <c r="O58" t="s">
        <v>609</v>
      </c>
      <c r="P58" t="s">
        <v>833</v>
      </c>
      <c r="Q58" t="s">
        <v>704</v>
      </c>
      <c r="R58" t="s">
        <v>704</v>
      </c>
      <c r="S58" t="s">
        <v>725</v>
      </c>
      <c r="T58" t="s">
        <v>834</v>
      </c>
      <c r="U58" t="s">
        <v>835</v>
      </c>
      <c r="V58" t="s">
        <v>836</v>
      </c>
      <c r="W58" t="s">
        <v>837</v>
      </c>
      <c r="X58" t="s">
        <v>564</v>
      </c>
      <c r="Y58" t="s">
        <v>574</v>
      </c>
      <c r="Z58" t="s">
        <v>574</v>
      </c>
      <c r="AA58" t="s">
        <v>565</v>
      </c>
      <c r="AB58" t="s">
        <v>617</v>
      </c>
      <c r="AC58" t="s">
        <v>598</v>
      </c>
      <c r="AD58" t="s">
        <v>692</v>
      </c>
      <c r="AE58" t="s">
        <v>840</v>
      </c>
      <c r="AF58" t="str">
        <f>IF(AND(HOUR(O58)&gt;=1,HOUR(O58)&lt;=13),VLOOKUP(B58,Programacion!$A$8:$S$1048576,16,FALSE),VLOOKUP(B58,Programacion!$A$8:$S$1048576,18,FALSE))</f>
        <v xml:space="preserve">  1666</v>
      </c>
      <c r="AG58" t="str">
        <f>IF(AND(HOUR(O58)&gt;=1,HOUR(O58)&lt;=13),VLOOKUP(B58,Programacion!$A$8:$S$1048576,17,FALSE),VLOOKUP(B58,Programacion!$A$8:$S$1048576,19,FALSE))</f>
        <v>GB01</v>
      </c>
    </row>
    <row r="59" spans="1:33" x14ac:dyDescent="0.25">
      <c r="A59" s="33" t="s">
        <v>196</v>
      </c>
      <c r="B59" t="s">
        <v>513</v>
      </c>
      <c r="C59" t="s">
        <v>810</v>
      </c>
      <c r="D59" t="s">
        <v>557</v>
      </c>
      <c r="E59" t="s">
        <v>558</v>
      </c>
      <c r="F59" t="s">
        <v>831</v>
      </c>
      <c r="G59" t="s">
        <v>560</v>
      </c>
      <c r="H59" t="s">
        <v>561</v>
      </c>
      <c r="I59" t="s">
        <v>832</v>
      </c>
      <c r="L59" t="s">
        <v>737</v>
      </c>
      <c r="M59" t="s">
        <v>564</v>
      </c>
      <c r="N59" t="s">
        <v>573</v>
      </c>
      <c r="O59" t="s">
        <v>609</v>
      </c>
      <c r="P59" t="s">
        <v>833</v>
      </c>
      <c r="Q59" t="s">
        <v>704</v>
      </c>
      <c r="R59" t="s">
        <v>704</v>
      </c>
      <c r="S59" t="s">
        <v>725</v>
      </c>
      <c r="T59" t="s">
        <v>834</v>
      </c>
      <c r="U59" t="s">
        <v>835</v>
      </c>
      <c r="V59" t="s">
        <v>836</v>
      </c>
      <c r="W59" t="s">
        <v>837</v>
      </c>
      <c r="X59" t="s">
        <v>564</v>
      </c>
      <c r="Y59" t="s">
        <v>574</v>
      </c>
      <c r="Z59" t="s">
        <v>574</v>
      </c>
      <c r="AA59" t="s">
        <v>565</v>
      </c>
      <c r="AB59" t="s">
        <v>617</v>
      </c>
      <c r="AC59" t="s">
        <v>576</v>
      </c>
      <c r="AD59" t="s">
        <v>742</v>
      </c>
      <c r="AE59" t="s">
        <v>663</v>
      </c>
      <c r="AF59" t="str">
        <f>IF(AND(HOUR(O59)&gt;=1,HOUR(O59)&lt;=13),VLOOKUP(B59,Programacion!$A$8:$S$1048576,16,FALSE),VLOOKUP(B59,Programacion!$A$8:$S$1048576,18,FALSE))</f>
        <v xml:space="preserve">  1666</v>
      </c>
      <c r="AG59" t="str">
        <f>IF(AND(HOUR(O59)&gt;=1,HOUR(O59)&lt;=13),VLOOKUP(B59,Programacion!$A$8:$S$1048576,17,FALSE),VLOOKUP(B59,Programacion!$A$8:$S$1048576,19,FALSE))</f>
        <v>GB01</v>
      </c>
    </row>
    <row r="60" spans="1:33" x14ac:dyDescent="0.25">
      <c r="A60" s="33" t="s">
        <v>192</v>
      </c>
      <c r="B60" t="s">
        <v>482</v>
      </c>
      <c r="C60" t="s">
        <v>841</v>
      </c>
      <c r="D60" t="s">
        <v>557</v>
      </c>
      <c r="E60" t="s">
        <v>558</v>
      </c>
      <c r="F60" t="s">
        <v>842</v>
      </c>
      <c r="G60" t="s">
        <v>560</v>
      </c>
      <c r="H60" t="s">
        <v>561</v>
      </c>
      <c r="I60" t="s">
        <v>843</v>
      </c>
      <c r="L60" t="s">
        <v>701</v>
      </c>
      <c r="M60" t="s">
        <v>564</v>
      </c>
      <c r="N60" t="s">
        <v>573</v>
      </c>
      <c r="O60" t="s">
        <v>631</v>
      </c>
      <c r="P60" t="s">
        <v>833</v>
      </c>
      <c r="Q60" t="s">
        <v>704</v>
      </c>
      <c r="R60" t="s">
        <v>704</v>
      </c>
      <c r="S60" t="s">
        <v>844</v>
      </c>
      <c r="T60" t="s">
        <v>845</v>
      </c>
      <c r="U60" t="s">
        <v>846</v>
      </c>
      <c r="V60" t="s">
        <v>847</v>
      </c>
      <c r="W60" t="s">
        <v>837</v>
      </c>
      <c r="X60" t="s">
        <v>564</v>
      </c>
      <c r="Y60" t="s">
        <v>574</v>
      </c>
      <c r="Z60" t="s">
        <v>574</v>
      </c>
      <c r="AA60" t="s">
        <v>594</v>
      </c>
      <c r="AB60" t="s">
        <v>848</v>
      </c>
      <c r="AC60" t="s">
        <v>576</v>
      </c>
      <c r="AD60" t="s">
        <v>849</v>
      </c>
      <c r="AE60" t="s">
        <v>824</v>
      </c>
      <c r="AF60" t="e">
        <f>IF(AND(HOUR(O60)&gt;=1,HOUR(O60)&lt;=13),VLOOKUP(B60,Programacion!$A$8:$S$1048576,16,FALSE),VLOOKUP(B60,Programacion!$A$8:$S$1048576,18,FALSE))</f>
        <v>#N/A</v>
      </c>
      <c r="AG60" t="e">
        <f>IF(AND(HOUR(O60)&gt;=1,HOUR(O60)&lt;=13),VLOOKUP(B60,Programacion!$A$8:$S$1048576,17,FALSE),VLOOKUP(B60,Programacion!$A$8:$S$1048576,19,FALSE))</f>
        <v>#N/A</v>
      </c>
    </row>
    <row r="61" spans="1:33" x14ac:dyDescent="0.25">
      <c r="A61" s="33" t="s">
        <v>192</v>
      </c>
      <c r="B61" t="s">
        <v>482</v>
      </c>
      <c r="C61" t="s">
        <v>841</v>
      </c>
      <c r="D61" t="s">
        <v>557</v>
      </c>
      <c r="E61" t="s">
        <v>558</v>
      </c>
      <c r="F61" t="s">
        <v>842</v>
      </c>
      <c r="G61" t="s">
        <v>560</v>
      </c>
      <c r="H61" t="s">
        <v>561</v>
      </c>
      <c r="I61" t="s">
        <v>843</v>
      </c>
      <c r="L61" t="s">
        <v>701</v>
      </c>
      <c r="M61" t="s">
        <v>564</v>
      </c>
      <c r="N61" t="s">
        <v>573</v>
      </c>
      <c r="O61" t="s">
        <v>631</v>
      </c>
      <c r="P61" t="s">
        <v>833</v>
      </c>
      <c r="Q61" t="s">
        <v>704</v>
      </c>
      <c r="R61" t="s">
        <v>704</v>
      </c>
      <c r="S61" t="s">
        <v>844</v>
      </c>
      <c r="T61" t="s">
        <v>845</v>
      </c>
      <c r="U61" t="s">
        <v>846</v>
      </c>
      <c r="V61" t="s">
        <v>850</v>
      </c>
      <c r="W61" t="s">
        <v>837</v>
      </c>
      <c r="X61" t="s">
        <v>564</v>
      </c>
      <c r="Y61" t="s">
        <v>574</v>
      </c>
      <c r="Z61" t="s">
        <v>574</v>
      </c>
      <c r="AA61" t="s">
        <v>594</v>
      </c>
      <c r="AB61" t="s">
        <v>848</v>
      </c>
      <c r="AC61" t="s">
        <v>588</v>
      </c>
      <c r="AD61" t="s">
        <v>849</v>
      </c>
      <c r="AE61" t="s">
        <v>851</v>
      </c>
      <c r="AF61" t="e">
        <f>IF(AND(HOUR(O61)&gt;=1,HOUR(O61)&lt;=13),VLOOKUP(B61,Programacion!$A$8:$S$1048576,16,FALSE),VLOOKUP(B61,Programacion!$A$8:$S$1048576,18,FALSE))</f>
        <v>#N/A</v>
      </c>
      <c r="AG61" t="e">
        <f>IF(AND(HOUR(O61)&gt;=1,HOUR(O61)&lt;=13),VLOOKUP(B61,Programacion!$A$8:$S$1048576,17,FALSE),VLOOKUP(B61,Programacion!$A$8:$S$1048576,19,FALSE))</f>
        <v>#N/A</v>
      </c>
    </row>
    <row r="62" spans="1:33" x14ac:dyDescent="0.25">
      <c r="A62" s="33" t="s">
        <v>192</v>
      </c>
      <c r="B62" t="s">
        <v>482</v>
      </c>
      <c r="C62" t="s">
        <v>841</v>
      </c>
      <c r="D62" t="s">
        <v>557</v>
      </c>
      <c r="E62" t="s">
        <v>558</v>
      </c>
      <c r="F62" t="s">
        <v>852</v>
      </c>
      <c r="G62" t="s">
        <v>560</v>
      </c>
      <c r="H62" t="s">
        <v>561</v>
      </c>
      <c r="I62" t="s">
        <v>853</v>
      </c>
      <c r="L62" t="s">
        <v>737</v>
      </c>
      <c r="M62" t="s">
        <v>564</v>
      </c>
      <c r="N62" t="s">
        <v>573</v>
      </c>
      <c r="O62" t="s">
        <v>609</v>
      </c>
      <c r="P62" t="s">
        <v>854</v>
      </c>
      <c r="Q62" t="s">
        <v>704</v>
      </c>
      <c r="R62" t="s">
        <v>704</v>
      </c>
      <c r="S62" t="s">
        <v>844</v>
      </c>
      <c r="T62" t="s">
        <v>855</v>
      </c>
      <c r="U62" t="s">
        <v>856</v>
      </c>
      <c r="V62" t="s">
        <v>857</v>
      </c>
      <c r="W62" t="s">
        <v>573</v>
      </c>
      <c r="X62" t="s">
        <v>564</v>
      </c>
      <c r="Y62" t="s">
        <v>574</v>
      </c>
      <c r="Z62" t="s">
        <v>574</v>
      </c>
      <c r="AA62" t="s">
        <v>565</v>
      </c>
      <c r="AB62" t="s">
        <v>858</v>
      </c>
      <c r="AC62" t="s">
        <v>598</v>
      </c>
      <c r="AD62" t="s">
        <v>742</v>
      </c>
      <c r="AE62" t="s">
        <v>671</v>
      </c>
      <c r="AF62" t="str">
        <f>IF(AND(HOUR(O62)&gt;=1,HOUR(O62)&lt;=13),VLOOKUP(B62,Programacion!$A$8:$S$1048576,16,FALSE),VLOOKUP(B62,Programacion!$A$8:$S$1048576,18,FALSE))</f>
        <v xml:space="preserve">  1512</v>
      </c>
      <c r="AG62" t="str">
        <f>IF(AND(HOUR(O62)&gt;=1,HOUR(O62)&lt;=13),VLOOKUP(B62,Programacion!$A$8:$S$1048576,17,FALSE),VLOOKUP(B62,Programacion!$A$8:$S$1048576,19,FALSE))</f>
        <v>GB01</v>
      </c>
    </row>
    <row r="63" spans="1:33" x14ac:dyDescent="0.25">
      <c r="A63" s="33" t="s">
        <v>192</v>
      </c>
      <c r="B63" t="s">
        <v>482</v>
      </c>
      <c r="C63" t="s">
        <v>841</v>
      </c>
      <c r="D63" t="s">
        <v>557</v>
      </c>
      <c r="E63" t="s">
        <v>558</v>
      </c>
      <c r="F63" t="s">
        <v>852</v>
      </c>
      <c r="G63" t="s">
        <v>560</v>
      </c>
      <c r="H63" t="s">
        <v>561</v>
      </c>
      <c r="I63" t="s">
        <v>853</v>
      </c>
      <c r="L63" t="s">
        <v>737</v>
      </c>
      <c r="M63" t="s">
        <v>564</v>
      </c>
      <c r="N63" t="s">
        <v>573</v>
      </c>
      <c r="O63" t="s">
        <v>609</v>
      </c>
      <c r="P63" t="s">
        <v>854</v>
      </c>
      <c r="Q63" t="s">
        <v>704</v>
      </c>
      <c r="R63" t="s">
        <v>704</v>
      </c>
      <c r="S63" t="s">
        <v>844</v>
      </c>
      <c r="T63" t="s">
        <v>855</v>
      </c>
      <c r="U63" t="s">
        <v>856</v>
      </c>
      <c r="V63" t="s">
        <v>857</v>
      </c>
      <c r="W63" t="s">
        <v>573</v>
      </c>
      <c r="X63" t="s">
        <v>564</v>
      </c>
      <c r="Y63" t="s">
        <v>574</v>
      </c>
      <c r="Z63" t="s">
        <v>574</v>
      </c>
      <c r="AA63" t="s">
        <v>565</v>
      </c>
      <c r="AB63" t="s">
        <v>858</v>
      </c>
      <c r="AC63" t="s">
        <v>576</v>
      </c>
      <c r="AD63" t="s">
        <v>692</v>
      </c>
      <c r="AE63" t="s">
        <v>859</v>
      </c>
      <c r="AF63" t="str">
        <f>IF(AND(HOUR(O63)&gt;=1,HOUR(O63)&lt;=13),VLOOKUP(B63,Programacion!$A$8:$S$1048576,16,FALSE),VLOOKUP(B63,Programacion!$A$8:$S$1048576,18,FALSE))</f>
        <v xml:space="preserve">  1512</v>
      </c>
      <c r="AG63" t="str">
        <f>IF(AND(HOUR(O63)&gt;=1,HOUR(O63)&lt;=13),VLOOKUP(B63,Programacion!$A$8:$S$1048576,17,FALSE),VLOOKUP(B63,Programacion!$A$8:$S$1048576,19,FALSE))</f>
        <v>GB01</v>
      </c>
    </row>
    <row r="64" spans="1:33" x14ac:dyDescent="0.25">
      <c r="A64" s="33" t="s">
        <v>192</v>
      </c>
      <c r="B64" t="s">
        <v>482</v>
      </c>
      <c r="C64" t="s">
        <v>841</v>
      </c>
      <c r="D64" t="s">
        <v>557</v>
      </c>
      <c r="E64" t="s">
        <v>558</v>
      </c>
      <c r="F64" t="s">
        <v>852</v>
      </c>
      <c r="G64" t="s">
        <v>560</v>
      </c>
      <c r="H64" t="s">
        <v>561</v>
      </c>
      <c r="I64" t="s">
        <v>853</v>
      </c>
      <c r="L64" t="s">
        <v>737</v>
      </c>
      <c r="M64" t="s">
        <v>564</v>
      </c>
      <c r="N64" t="s">
        <v>573</v>
      </c>
      <c r="O64" t="s">
        <v>609</v>
      </c>
      <c r="P64" t="s">
        <v>854</v>
      </c>
      <c r="Q64" t="s">
        <v>704</v>
      </c>
      <c r="R64" t="s">
        <v>704</v>
      </c>
      <c r="S64" t="s">
        <v>844</v>
      </c>
      <c r="T64" t="s">
        <v>855</v>
      </c>
      <c r="U64" t="s">
        <v>856</v>
      </c>
      <c r="V64" t="s">
        <v>857</v>
      </c>
      <c r="W64" t="s">
        <v>573</v>
      </c>
      <c r="X64" t="s">
        <v>564</v>
      </c>
      <c r="Y64" t="s">
        <v>574</v>
      </c>
      <c r="Z64" t="s">
        <v>574</v>
      </c>
      <c r="AA64" t="s">
        <v>565</v>
      </c>
      <c r="AB64" t="s">
        <v>858</v>
      </c>
      <c r="AC64" t="s">
        <v>588</v>
      </c>
      <c r="AD64" t="s">
        <v>798</v>
      </c>
      <c r="AE64" t="s">
        <v>647</v>
      </c>
      <c r="AF64" t="str">
        <f>IF(AND(HOUR(O64)&gt;=1,HOUR(O64)&lt;=13),VLOOKUP(B64,Programacion!$A$8:$S$1048576,16,FALSE),VLOOKUP(B64,Programacion!$A$8:$S$1048576,18,FALSE))</f>
        <v xml:space="preserve">  1512</v>
      </c>
      <c r="AG64" t="str">
        <f>IF(AND(HOUR(O64)&gt;=1,HOUR(O64)&lt;=13),VLOOKUP(B64,Programacion!$A$8:$S$1048576,17,FALSE),VLOOKUP(B64,Programacion!$A$8:$S$1048576,19,FALSE))</f>
        <v>GB01</v>
      </c>
    </row>
    <row r="65" spans="1:33" x14ac:dyDescent="0.25">
      <c r="A65" s="33" t="s">
        <v>192</v>
      </c>
      <c r="B65" t="s">
        <v>482</v>
      </c>
      <c r="C65" t="s">
        <v>841</v>
      </c>
      <c r="D65" t="s">
        <v>557</v>
      </c>
      <c r="E65" t="s">
        <v>558</v>
      </c>
      <c r="F65" t="s">
        <v>852</v>
      </c>
      <c r="G65" t="s">
        <v>560</v>
      </c>
      <c r="H65" t="s">
        <v>561</v>
      </c>
      <c r="I65" t="s">
        <v>853</v>
      </c>
      <c r="L65" t="s">
        <v>737</v>
      </c>
      <c r="M65" t="s">
        <v>564</v>
      </c>
      <c r="N65" t="s">
        <v>573</v>
      </c>
      <c r="O65" t="s">
        <v>609</v>
      </c>
      <c r="P65" t="s">
        <v>854</v>
      </c>
      <c r="Q65" t="s">
        <v>704</v>
      </c>
      <c r="R65" t="s">
        <v>704</v>
      </c>
      <c r="S65" t="s">
        <v>844</v>
      </c>
      <c r="T65" t="s">
        <v>855</v>
      </c>
      <c r="U65" t="s">
        <v>856</v>
      </c>
      <c r="V65" t="s">
        <v>857</v>
      </c>
      <c r="W65" t="s">
        <v>573</v>
      </c>
      <c r="X65" t="s">
        <v>564</v>
      </c>
      <c r="Y65" t="s">
        <v>574</v>
      </c>
      <c r="Z65" t="s">
        <v>574</v>
      </c>
      <c r="AA65" t="s">
        <v>565</v>
      </c>
      <c r="AB65" t="s">
        <v>858</v>
      </c>
      <c r="AC65" t="s">
        <v>596</v>
      </c>
      <c r="AD65" t="s">
        <v>589</v>
      </c>
      <c r="AE65" t="s">
        <v>663</v>
      </c>
      <c r="AF65" t="str">
        <f>IF(AND(HOUR(O65)&gt;=1,HOUR(O65)&lt;=13),VLOOKUP(B65,Programacion!$A$8:$S$1048576,16,FALSE),VLOOKUP(B65,Programacion!$A$8:$S$1048576,18,FALSE))</f>
        <v xml:space="preserve">  1512</v>
      </c>
      <c r="AG65" t="str">
        <f>IF(AND(HOUR(O65)&gt;=1,HOUR(O65)&lt;=13),VLOOKUP(B65,Programacion!$A$8:$S$1048576,17,FALSE),VLOOKUP(B65,Programacion!$A$8:$S$1048576,19,FALSE))</f>
        <v>GB01</v>
      </c>
    </row>
    <row r="66" spans="1:33" x14ac:dyDescent="0.25">
      <c r="A66" s="33" t="s">
        <v>192</v>
      </c>
      <c r="B66" t="s">
        <v>482</v>
      </c>
      <c r="C66" t="s">
        <v>841</v>
      </c>
      <c r="D66" t="s">
        <v>557</v>
      </c>
      <c r="E66" t="s">
        <v>558</v>
      </c>
      <c r="F66" t="s">
        <v>860</v>
      </c>
      <c r="G66" t="s">
        <v>560</v>
      </c>
      <c r="H66" t="s">
        <v>561</v>
      </c>
      <c r="I66" t="s">
        <v>861</v>
      </c>
      <c r="L66" t="s">
        <v>862</v>
      </c>
      <c r="M66" t="s">
        <v>564</v>
      </c>
      <c r="N66" t="s">
        <v>573</v>
      </c>
      <c r="O66" t="s">
        <v>863</v>
      </c>
      <c r="P66" t="s">
        <v>864</v>
      </c>
      <c r="Q66" t="s">
        <v>704</v>
      </c>
      <c r="R66" t="s">
        <v>704</v>
      </c>
      <c r="S66" t="s">
        <v>844</v>
      </c>
      <c r="T66" t="s">
        <v>865</v>
      </c>
      <c r="U66" t="s">
        <v>866</v>
      </c>
      <c r="V66" t="s">
        <v>867</v>
      </c>
      <c r="W66" t="s">
        <v>565</v>
      </c>
      <c r="X66" t="s">
        <v>564</v>
      </c>
      <c r="Y66" t="s">
        <v>574</v>
      </c>
      <c r="Z66" t="s">
        <v>574</v>
      </c>
      <c r="AA66" t="s">
        <v>565</v>
      </c>
      <c r="AB66" t="s">
        <v>868</v>
      </c>
      <c r="AC66" t="s">
        <v>598</v>
      </c>
      <c r="AD66" t="s">
        <v>869</v>
      </c>
      <c r="AE66" t="s">
        <v>618</v>
      </c>
      <c r="AF66" t="str">
        <f>IF(AND(HOUR(O66)&gt;=1,HOUR(O66)&lt;=13),VLOOKUP(B66,Programacion!$A$8:$S$1048576,16,FALSE),VLOOKUP(B66,Programacion!$A$8:$S$1048576,18,FALSE))</f>
        <v xml:space="preserve">  1512</v>
      </c>
      <c r="AG66" t="str">
        <f>IF(AND(HOUR(O66)&gt;=1,HOUR(O66)&lt;=13),VLOOKUP(B66,Programacion!$A$8:$S$1048576,17,FALSE),VLOOKUP(B66,Programacion!$A$8:$S$1048576,19,FALSE))</f>
        <v>GB01</v>
      </c>
    </row>
    <row r="67" spans="1:33" x14ac:dyDescent="0.25">
      <c r="A67" s="33" t="s">
        <v>192</v>
      </c>
      <c r="B67" t="s">
        <v>482</v>
      </c>
      <c r="C67" t="s">
        <v>841</v>
      </c>
      <c r="D67" t="s">
        <v>557</v>
      </c>
      <c r="E67" t="s">
        <v>558</v>
      </c>
      <c r="F67" t="s">
        <v>860</v>
      </c>
      <c r="G67" t="s">
        <v>560</v>
      </c>
      <c r="H67" t="s">
        <v>561</v>
      </c>
      <c r="I67" t="s">
        <v>861</v>
      </c>
      <c r="L67" t="s">
        <v>862</v>
      </c>
      <c r="M67" t="s">
        <v>564</v>
      </c>
      <c r="N67" t="s">
        <v>573</v>
      </c>
      <c r="O67" t="s">
        <v>863</v>
      </c>
      <c r="P67" t="s">
        <v>864</v>
      </c>
      <c r="Q67" t="s">
        <v>704</v>
      </c>
      <c r="R67" t="s">
        <v>704</v>
      </c>
      <c r="S67" t="s">
        <v>844</v>
      </c>
      <c r="T67" t="s">
        <v>865</v>
      </c>
      <c r="U67" t="s">
        <v>866</v>
      </c>
      <c r="V67" t="s">
        <v>867</v>
      </c>
      <c r="W67" t="s">
        <v>565</v>
      </c>
      <c r="X67" t="s">
        <v>564</v>
      </c>
      <c r="Y67" t="s">
        <v>574</v>
      </c>
      <c r="Z67" t="s">
        <v>574</v>
      </c>
      <c r="AA67" t="s">
        <v>565</v>
      </c>
      <c r="AB67" t="s">
        <v>868</v>
      </c>
      <c r="AC67" t="s">
        <v>576</v>
      </c>
      <c r="AD67" t="s">
        <v>869</v>
      </c>
      <c r="AE67" t="s">
        <v>600</v>
      </c>
      <c r="AF67" t="str">
        <f>IF(AND(HOUR(O67)&gt;=1,HOUR(O67)&lt;=13),VLOOKUP(B67,Programacion!$A$8:$S$1048576,16,FALSE),VLOOKUP(B67,Programacion!$A$8:$S$1048576,18,FALSE))</f>
        <v xml:space="preserve">  1512</v>
      </c>
      <c r="AG67" t="str">
        <f>IF(AND(HOUR(O67)&gt;=1,HOUR(O67)&lt;=13),VLOOKUP(B67,Programacion!$A$8:$S$1048576,17,FALSE),VLOOKUP(B67,Programacion!$A$8:$S$1048576,19,FALSE))</f>
        <v>GB01</v>
      </c>
    </row>
    <row r="68" spans="1:33" x14ac:dyDescent="0.25">
      <c r="A68" s="33" t="s">
        <v>192</v>
      </c>
      <c r="B68" t="s">
        <v>482</v>
      </c>
      <c r="C68" t="s">
        <v>841</v>
      </c>
      <c r="D68" t="s">
        <v>557</v>
      </c>
      <c r="E68" t="s">
        <v>558</v>
      </c>
      <c r="F68" t="s">
        <v>860</v>
      </c>
      <c r="G68" t="s">
        <v>560</v>
      </c>
      <c r="H68" t="s">
        <v>561</v>
      </c>
      <c r="I68" t="s">
        <v>861</v>
      </c>
      <c r="L68" t="s">
        <v>862</v>
      </c>
      <c r="M68" t="s">
        <v>564</v>
      </c>
      <c r="N68" t="s">
        <v>573</v>
      </c>
      <c r="O68" t="s">
        <v>863</v>
      </c>
      <c r="P68" t="s">
        <v>864</v>
      </c>
      <c r="Q68" t="s">
        <v>704</v>
      </c>
      <c r="R68" t="s">
        <v>704</v>
      </c>
      <c r="S68" t="s">
        <v>844</v>
      </c>
      <c r="T68" t="s">
        <v>865</v>
      </c>
      <c r="U68" t="s">
        <v>866</v>
      </c>
      <c r="V68" t="s">
        <v>867</v>
      </c>
      <c r="W68" t="s">
        <v>565</v>
      </c>
      <c r="X68" t="s">
        <v>564</v>
      </c>
      <c r="Y68" t="s">
        <v>574</v>
      </c>
      <c r="Z68" t="s">
        <v>574</v>
      </c>
      <c r="AA68" t="s">
        <v>565</v>
      </c>
      <c r="AB68" t="s">
        <v>868</v>
      </c>
      <c r="AC68" t="s">
        <v>596</v>
      </c>
      <c r="AD68" t="s">
        <v>599</v>
      </c>
      <c r="AE68" t="s">
        <v>651</v>
      </c>
      <c r="AF68" t="str">
        <f>IF(AND(HOUR(O68)&gt;=1,HOUR(O68)&lt;=13),VLOOKUP(B68,Programacion!$A$8:$S$1048576,16,FALSE),VLOOKUP(B68,Programacion!$A$8:$S$1048576,18,FALSE))</f>
        <v xml:space="preserve">  1512</v>
      </c>
      <c r="AG68" t="str">
        <f>IF(AND(HOUR(O68)&gt;=1,HOUR(O68)&lt;=13),VLOOKUP(B68,Programacion!$A$8:$S$1048576,17,FALSE),VLOOKUP(B68,Programacion!$A$8:$S$1048576,19,FALSE))</f>
        <v>GB01</v>
      </c>
    </row>
    <row r="69" spans="1:33" x14ac:dyDescent="0.25">
      <c r="A69" s="33" t="s">
        <v>192</v>
      </c>
      <c r="B69" t="s">
        <v>482</v>
      </c>
      <c r="C69" t="s">
        <v>841</v>
      </c>
      <c r="D69" t="s">
        <v>557</v>
      </c>
      <c r="E69" t="s">
        <v>558</v>
      </c>
      <c r="F69" t="s">
        <v>860</v>
      </c>
      <c r="G69" t="s">
        <v>560</v>
      </c>
      <c r="H69" t="s">
        <v>561</v>
      </c>
      <c r="I69" t="s">
        <v>861</v>
      </c>
      <c r="L69" t="s">
        <v>862</v>
      </c>
      <c r="M69" t="s">
        <v>564</v>
      </c>
      <c r="N69" t="s">
        <v>573</v>
      </c>
      <c r="O69" t="s">
        <v>863</v>
      </c>
      <c r="P69" t="s">
        <v>864</v>
      </c>
      <c r="Q69" t="s">
        <v>704</v>
      </c>
      <c r="R69" t="s">
        <v>704</v>
      </c>
      <c r="S69" t="s">
        <v>844</v>
      </c>
      <c r="T69" t="s">
        <v>870</v>
      </c>
      <c r="U69" t="s">
        <v>871</v>
      </c>
      <c r="V69" t="s">
        <v>872</v>
      </c>
      <c r="W69" t="s">
        <v>779</v>
      </c>
      <c r="X69" t="s">
        <v>564</v>
      </c>
      <c r="Y69" t="s">
        <v>574</v>
      </c>
      <c r="Z69" t="s">
        <v>574</v>
      </c>
      <c r="AA69" t="s">
        <v>565</v>
      </c>
      <c r="AB69" t="s">
        <v>873</v>
      </c>
      <c r="AC69" t="s">
        <v>596</v>
      </c>
      <c r="AD69" t="s">
        <v>757</v>
      </c>
      <c r="AE69" t="s">
        <v>840</v>
      </c>
      <c r="AF69" t="str">
        <f>IF(AND(HOUR(O69)&gt;=1,HOUR(O69)&lt;=13),VLOOKUP(B69,Programacion!$A$8:$S$1048576,16,FALSE),VLOOKUP(B69,Programacion!$A$8:$S$1048576,18,FALSE))</f>
        <v xml:space="preserve">  1512</v>
      </c>
      <c r="AG69" t="str">
        <f>IF(AND(HOUR(O69)&gt;=1,HOUR(O69)&lt;=13),VLOOKUP(B69,Programacion!$A$8:$S$1048576,17,FALSE),VLOOKUP(B69,Programacion!$A$8:$S$1048576,19,FALSE))</f>
        <v>GB01</v>
      </c>
    </row>
    <row r="70" spans="1:33" x14ac:dyDescent="0.25">
      <c r="A70" s="33" t="s">
        <v>192</v>
      </c>
      <c r="B70" t="s">
        <v>482</v>
      </c>
      <c r="C70" t="s">
        <v>841</v>
      </c>
      <c r="D70" t="s">
        <v>557</v>
      </c>
      <c r="E70" t="s">
        <v>558</v>
      </c>
      <c r="F70" t="s">
        <v>860</v>
      </c>
      <c r="G70" t="s">
        <v>560</v>
      </c>
      <c r="H70" t="s">
        <v>561</v>
      </c>
      <c r="I70" t="s">
        <v>861</v>
      </c>
      <c r="L70" t="s">
        <v>862</v>
      </c>
      <c r="M70" t="s">
        <v>564</v>
      </c>
      <c r="N70" t="s">
        <v>573</v>
      </c>
      <c r="O70" t="s">
        <v>863</v>
      </c>
      <c r="P70" t="s">
        <v>864</v>
      </c>
      <c r="Q70" t="s">
        <v>704</v>
      </c>
      <c r="R70" t="s">
        <v>704</v>
      </c>
      <c r="S70" t="s">
        <v>844</v>
      </c>
      <c r="T70" t="s">
        <v>870</v>
      </c>
      <c r="U70" t="s">
        <v>871</v>
      </c>
      <c r="V70" t="s">
        <v>872</v>
      </c>
      <c r="W70" t="s">
        <v>779</v>
      </c>
      <c r="X70" t="s">
        <v>564</v>
      </c>
      <c r="Y70" t="s">
        <v>574</v>
      </c>
      <c r="Z70" t="s">
        <v>574</v>
      </c>
      <c r="AA70" t="s">
        <v>565</v>
      </c>
      <c r="AB70" t="s">
        <v>873</v>
      </c>
      <c r="AC70" t="s">
        <v>598</v>
      </c>
      <c r="AD70" t="s">
        <v>589</v>
      </c>
      <c r="AE70" t="s">
        <v>663</v>
      </c>
      <c r="AF70" t="str">
        <f>IF(AND(HOUR(O70)&gt;=1,HOUR(O70)&lt;=13),VLOOKUP(B70,Programacion!$A$8:$S$1048576,16,FALSE),VLOOKUP(B70,Programacion!$A$8:$S$1048576,18,FALSE))</f>
        <v xml:space="preserve">  1512</v>
      </c>
      <c r="AG70" t="str">
        <f>IF(AND(HOUR(O70)&gt;=1,HOUR(O70)&lt;=13),VLOOKUP(B70,Programacion!$A$8:$S$1048576,17,FALSE),VLOOKUP(B70,Programacion!$A$8:$S$1048576,19,FALSE))</f>
        <v>GB01</v>
      </c>
    </row>
    <row r="71" spans="1:33" x14ac:dyDescent="0.25">
      <c r="A71" s="33" t="s">
        <v>874</v>
      </c>
      <c r="B71" t="s">
        <v>504</v>
      </c>
      <c r="C71" t="s">
        <v>875</v>
      </c>
      <c r="D71" t="s">
        <v>557</v>
      </c>
      <c r="E71" t="s">
        <v>558</v>
      </c>
      <c r="F71" t="s">
        <v>876</v>
      </c>
      <c r="G71" t="s">
        <v>560</v>
      </c>
      <c r="H71" t="s">
        <v>561</v>
      </c>
      <c r="I71" t="s">
        <v>877</v>
      </c>
      <c r="L71" t="s">
        <v>603</v>
      </c>
      <c r="M71" t="s">
        <v>564</v>
      </c>
      <c r="N71" t="s">
        <v>565</v>
      </c>
      <c r="O71" t="s">
        <v>675</v>
      </c>
      <c r="P71" t="s">
        <v>716</v>
      </c>
      <c r="Q71" t="s">
        <v>704</v>
      </c>
      <c r="R71" t="s">
        <v>704</v>
      </c>
      <c r="S71" t="s">
        <v>878</v>
      </c>
      <c r="T71" t="s">
        <v>879</v>
      </c>
      <c r="U71" t="s">
        <v>856</v>
      </c>
      <c r="V71" t="s">
        <v>880</v>
      </c>
      <c r="W71" t="s">
        <v>779</v>
      </c>
      <c r="X71" t="s">
        <v>564</v>
      </c>
      <c r="Y71" t="s">
        <v>574</v>
      </c>
      <c r="Z71" t="s">
        <v>574</v>
      </c>
      <c r="AA71" t="s">
        <v>565</v>
      </c>
      <c r="AB71" t="s">
        <v>858</v>
      </c>
      <c r="AC71" t="s">
        <v>588</v>
      </c>
      <c r="AD71" t="s">
        <v>704</v>
      </c>
      <c r="AE71" t="s">
        <v>881</v>
      </c>
      <c r="AF71" t="e">
        <f>IF(AND(HOUR(O71)&gt;=1,HOUR(O71)&lt;=13),VLOOKUP(B71,Programacion!$A$8:$S$1048576,16,FALSE),VLOOKUP(B71,Programacion!$A$8:$S$1048576,18,FALSE))</f>
        <v>#N/A</v>
      </c>
      <c r="AG71" t="e">
        <f>IF(AND(HOUR(O71)&gt;=1,HOUR(O71)&lt;=13),VLOOKUP(B71,Programacion!$A$8:$S$1048576,17,FALSE),VLOOKUP(B71,Programacion!$A$8:$S$1048576,19,FALSE))</f>
        <v>#N/A</v>
      </c>
    </row>
    <row r="72" spans="1:33" x14ac:dyDescent="0.25">
      <c r="A72" s="33" t="s">
        <v>874</v>
      </c>
      <c r="B72" t="s">
        <v>504</v>
      </c>
      <c r="C72" t="s">
        <v>875</v>
      </c>
      <c r="D72" t="s">
        <v>557</v>
      </c>
      <c r="E72" t="s">
        <v>558</v>
      </c>
      <c r="F72" t="s">
        <v>882</v>
      </c>
      <c r="G72" t="s">
        <v>560</v>
      </c>
      <c r="H72" t="s">
        <v>561</v>
      </c>
      <c r="I72" t="s">
        <v>883</v>
      </c>
      <c r="L72" t="s">
        <v>751</v>
      </c>
      <c r="M72" t="s">
        <v>564</v>
      </c>
      <c r="N72" t="s">
        <v>573</v>
      </c>
      <c r="O72" t="s">
        <v>752</v>
      </c>
      <c r="P72" t="s">
        <v>605</v>
      </c>
      <c r="Q72" t="s">
        <v>704</v>
      </c>
      <c r="R72" t="s">
        <v>704</v>
      </c>
      <c r="S72" t="s">
        <v>878</v>
      </c>
      <c r="T72" t="s">
        <v>884</v>
      </c>
      <c r="U72" t="s">
        <v>754</v>
      </c>
      <c r="V72" t="s">
        <v>885</v>
      </c>
      <c r="W72" t="s">
        <v>586</v>
      </c>
      <c r="X72" t="s">
        <v>564</v>
      </c>
      <c r="Y72" t="s">
        <v>574</v>
      </c>
      <c r="Z72" t="s">
        <v>574</v>
      </c>
      <c r="AA72" t="s">
        <v>565</v>
      </c>
      <c r="AB72" t="s">
        <v>688</v>
      </c>
      <c r="AC72" t="s">
        <v>576</v>
      </c>
      <c r="AD72" t="s">
        <v>886</v>
      </c>
      <c r="AE72" t="s">
        <v>887</v>
      </c>
      <c r="AF72" t="e">
        <f>IF(AND(HOUR(O72)&gt;=1,HOUR(O72)&lt;=13),VLOOKUP(B72,Programacion!$A$8:$S$1048576,16,FALSE),VLOOKUP(B72,Programacion!$A$8:$S$1048576,18,FALSE))</f>
        <v>#N/A</v>
      </c>
      <c r="AG72" t="e">
        <f>IF(AND(HOUR(O72)&gt;=1,HOUR(O72)&lt;=13),VLOOKUP(B72,Programacion!$A$8:$S$1048576,17,FALSE),VLOOKUP(B72,Programacion!$A$8:$S$1048576,19,FALSE))</f>
        <v>#N/A</v>
      </c>
    </row>
    <row r="73" spans="1:33" x14ac:dyDescent="0.25">
      <c r="A73" s="33" t="s">
        <v>874</v>
      </c>
      <c r="B73" t="s">
        <v>504</v>
      </c>
      <c r="C73" t="s">
        <v>875</v>
      </c>
      <c r="D73" t="s">
        <v>557</v>
      </c>
      <c r="E73" t="s">
        <v>558</v>
      </c>
      <c r="F73" t="s">
        <v>882</v>
      </c>
      <c r="G73" t="s">
        <v>560</v>
      </c>
      <c r="H73" t="s">
        <v>561</v>
      </c>
      <c r="I73" t="s">
        <v>883</v>
      </c>
      <c r="L73" t="s">
        <v>751</v>
      </c>
      <c r="M73" t="s">
        <v>564</v>
      </c>
      <c r="N73" t="s">
        <v>573</v>
      </c>
      <c r="O73" t="s">
        <v>752</v>
      </c>
      <c r="P73" t="s">
        <v>605</v>
      </c>
      <c r="Q73" t="s">
        <v>704</v>
      </c>
      <c r="R73" t="s">
        <v>704</v>
      </c>
      <c r="S73" t="s">
        <v>878</v>
      </c>
      <c r="T73" t="s">
        <v>888</v>
      </c>
      <c r="U73" t="s">
        <v>871</v>
      </c>
      <c r="V73" t="s">
        <v>889</v>
      </c>
      <c r="W73" t="s">
        <v>586</v>
      </c>
      <c r="X73" t="s">
        <v>564</v>
      </c>
      <c r="Y73" t="s">
        <v>574</v>
      </c>
      <c r="Z73" t="s">
        <v>574</v>
      </c>
      <c r="AA73" t="s">
        <v>565</v>
      </c>
      <c r="AB73" t="s">
        <v>890</v>
      </c>
      <c r="AC73" t="s">
        <v>588</v>
      </c>
      <c r="AD73" t="s">
        <v>692</v>
      </c>
      <c r="AE73" t="s">
        <v>636</v>
      </c>
      <c r="AF73" t="e">
        <f>IF(AND(HOUR(O73)&gt;=1,HOUR(O73)&lt;=13),VLOOKUP(B73,Programacion!$A$8:$S$1048576,16,FALSE),VLOOKUP(B73,Programacion!$A$8:$S$1048576,18,FALSE))</f>
        <v>#N/A</v>
      </c>
      <c r="AG73" t="e">
        <f>IF(AND(HOUR(O73)&gt;=1,HOUR(O73)&lt;=13),VLOOKUP(B73,Programacion!$A$8:$S$1048576,17,FALSE),VLOOKUP(B73,Programacion!$A$8:$S$1048576,19,FALSE))</f>
        <v>#N/A</v>
      </c>
    </row>
    <row r="74" spans="1:33" x14ac:dyDescent="0.25">
      <c r="A74" s="33" t="s">
        <v>891</v>
      </c>
      <c r="B74" t="s">
        <v>475</v>
      </c>
      <c r="C74" t="s">
        <v>892</v>
      </c>
      <c r="D74" t="s">
        <v>557</v>
      </c>
      <c r="E74" t="s">
        <v>558</v>
      </c>
      <c r="F74" t="s">
        <v>893</v>
      </c>
      <c r="G74" t="s">
        <v>560</v>
      </c>
      <c r="H74" t="s">
        <v>561</v>
      </c>
      <c r="I74" t="s">
        <v>894</v>
      </c>
      <c r="L74" t="s">
        <v>737</v>
      </c>
      <c r="M74" t="s">
        <v>564</v>
      </c>
      <c r="N74" t="s">
        <v>565</v>
      </c>
      <c r="O74" t="s">
        <v>787</v>
      </c>
      <c r="P74" t="s">
        <v>582</v>
      </c>
      <c r="Q74" t="s">
        <v>704</v>
      </c>
      <c r="R74" t="s">
        <v>704</v>
      </c>
      <c r="S74" t="s">
        <v>878</v>
      </c>
      <c r="T74" t="s">
        <v>895</v>
      </c>
      <c r="U74" t="s">
        <v>680</v>
      </c>
      <c r="V74" t="s">
        <v>896</v>
      </c>
      <c r="W74" t="s">
        <v>594</v>
      </c>
      <c r="X74" t="s">
        <v>564</v>
      </c>
      <c r="Y74" t="s">
        <v>574</v>
      </c>
      <c r="Z74" t="s">
        <v>574</v>
      </c>
      <c r="AA74" t="s">
        <v>565</v>
      </c>
      <c r="AB74" t="s">
        <v>683</v>
      </c>
      <c r="AC74" t="s">
        <v>588</v>
      </c>
      <c r="AD74" t="s">
        <v>704</v>
      </c>
      <c r="AE74" t="s">
        <v>897</v>
      </c>
      <c r="AF74" t="e">
        <f>IF(AND(HOUR(O74)&gt;=1,HOUR(O74)&lt;=13),VLOOKUP(B74,Programacion!$A$8:$S$1048576,16,FALSE),VLOOKUP(B74,Programacion!$A$8:$S$1048576,18,FALSE))</f>
        <v>#N/A</v>
      </c>
      <c r="AG74" t="e">
        <f>IF(AND(HOUR(O74)&gt;=1,HOUR(O74)&lt;=13),VLOOKUP(B74,Programacion!$A$8:$S$1048576,17,FALSE),VLOOKUP(B74,Programacion!$A$8:$S$1048576,19,FALSE))</f>
        <v>#N/A</v>
      </c>
    </row>
    <row r="75" spans="1:33" x14ac:dyDescent="0.25">
      <c r="A75" s="33" t="s">
        <v>891</v>
      </c>
      <c r="B75" t="s">
        <v>475</v>
      </c>
      <c r="C75" t="s">
        <v>892</v>
      </c>
      <c r="D75" t="s">
        <v>557</v>
      </c>
      <c r="E75" t="s">
        <v>558</v>
      </c>
      <c r="F75" t="s">
        <v>898</v>
      </c>
      <c r="G75" t="s">
        <v>560</v>
      </c>
      <c r="H75" t="s">
        <v>561</v>
      </c>
      <c r="I75" t="s">
        <v>899</v>
      </c>
      <c r="L75" t="s">
        <v>900</v>
      </c>
      <c r="M75" t="s">
        <v>564</v>
      </c>
      <c r="N75" t="s">
        <v>573</v>
      </c>
      <c r="O75" t="s">
        <v>901</v>
      </c>
      <c r="P75" t="s">
        <v>703</v>
      </c>
      <c r="Q75" t="s">
        <v>704</v>
      </c>
      <c r="R75" t="s">
        <v>704</v>
      </c>
      <c r="S75" t="s">
        <v>878</v>
      </c>
      <c r="T75" t="s">
        <v>902</v>
      </c>
      <c r="U75" t="s">
        <v>903</v>
      </c>
      <c r="V75" t="s">
        <v>904</v>
      </c>
      <c r="W75" t="s">
        <v>828</v>
      </c>
      <c r="X75" t="s">
        <v>564</v>
      </c>
      <c r="Y75" t="s">
        <v>574</v>
      </c>
      <c r="Z75" t="s">
        <v>574</v>
      </c>
      <c r="AA75" t="s">
        <v>565</v>
      </c>
      <c r="AB75" t="s">
        <v>905</v>
      </c>
      <c r="AC75" t="s">
        <v>576</v>
      </c>
      <c r="AD75" t="s">
        <v>849</v>
      </c>
      <c r="AE75" t="s">
        <v>906</v>
      </c>
      <c r="AF75" t="e">
        <f>IF(AND(HOUR(O75)&gt;=1,HOUR(O75)&lt;=13),VLOOKUP(B75,Programacion!$A$8:$S$1048576,16,FALSE),VLOOKUP(B75,Programacion!$A$8:$S$1048576,18,FALSE))</f>
        <v>#N/A</v>
      </c>
      <c r="AG75" t="e">
        <f>IF(AND(HOUR(O75)&gt;=1,HOUR(O75)&lt;=13),VLOOKUP(B75,Programacion!$A$8:$S$1048576,17,FALSE),VLOOKUP(B75,Programacion!$A$8:$S$1048576,19,FALSE))</f>
        <v>#N/A</v>
      </c>
    </row>
    <row r="76" spans="1:33" x14ac:dyDescent="0.25">
      <c r="A76" s="33" t="s">
        <v>891</v>
      </c>
      <c r="B76" t="s">
        <v>475</v>
      </c>
      <c r="C76" t="s">
        <v>892</v>
      </c>
      <c r="D76" t="s">
        <v>557</v>
      </c>
      <c r="E76" t="s">
        <v>558</v>
      </c>
      <c r="F76" t="s">
        <v>898</v>
      </c>
      <c r="G76" t="s">
        <v>560</v>
      </c>
      <c r="H76" t="s">
        <v>561</v>
      </c>
      <c r="I76" t="s">
        <v>899</v>
      </c>
      <c r="L76" t="s">
        <v>900</v>
      </c>
      <c r="M76" t="s">
        <v>564</v>
      </c>
      <c r="N76" t="s">
        <v>573</v>
      </c>
      <c r="O76" t="s">
        <v>901</v>
      </c>
      <c r="P76" t="s">
        <v>703</v>
      </c>
      <c r="Q76" t="s">
        <v>704</v>
      </c>
      <c r="R76" t="s">
        <v>704</v>
      </c>
      <c r="S76" t="s">
        <v>878</v>
      </c>
      <c r="T76" t="s">
        <v>902</v>
      </c>
      <c r="U76" t="s">
        <v>903</v>
      </c>
      <c r="V76" t="s">
        <v>904</v>
      </c>
      <c r="W76" t="s">
        <v>828</v>
      </c>
      <c r="X76" t="s">
        <v>564</v>
      </c>
      <c r="Y76" t="s">
        <v>574</v>
      </c>
      <c r="Z76" t="s">
        <v>574</v>
      </c>
      <c r="AA76" t="s">
        <v>565</v>
      </c>
      <c r="AB76" t="s">
        <v>905</v>
      </c>
      <c r="AC76" t="s">
        <v>588</v>
      </c>
      <c r="AD76" t="s">
        <v>693</v>
      </c>
      <c r="AE76" t="s">
        <v>694</v>
      </c>
      <c r="AF76" t="e">
        <f>IF(AND(HOUR(O76)&gt;=1,HOUR(O76)&lt;=13),VLOOKUP(B76,Programacion!$A$8:$S$1048576,16,FALSE),VLOOKUP(B76,Programacion!$A$8:$S$1048576,18,FALSE))</f>
        <v>#N/A</v>
      </c>
      <c r="AG76" t="e">
        <f>IF(AND(HOUR(O76)&gt;=1,HOUR(O76)&lt;=13),VLOOKUP(B76,Programacion!$A$8:$S$1048576,17,FALSE),VLOOKUP(B76,Programacion!$A$8:$S$1048576,19,FALSE))</f>
        <v>#N/A</v>
      </c>
    </row>
    <row r="77" spans="1:33" x14ac:dyDescent="0.25">
      <c r="A77" s="33" t="s">
        <v>891</v>
      </c>
      <c r="B77" t="s">
        <v>475</v>
      </c>
      <c r="C77" t="s">
        <v>892</v>
      </c>
      <c r="D77" t="s">
        <v>557</v>
      </c>
      <c r="E77" t="s">
        <v>558</v>
      </c>
      <c r="F77" t="s">
        <v>898</v>
      </c>
      <c r="G77" t="s">
        <v>560</v>
      </c>
      <c r="H77" t="s">
        <v>561</v>
      </c>
      <c r="I77" t="s">
        <v>899</v>
      </c>
      <c r="L77" t="s">
        <v>900</v>
      </c>
      <c r="M77" t="s">
        <v>564</v>
      </c>
      <c r="N77" t="s">
        <v>573</v>
      </c>
      <c r="O77" t="s">
        <v>901</v>
      </c>
      <c r="P77" t="s">
        <v>703</v>
      </c>
      <c r="Q77" t="s">
        <v>704</v>
      </c>
      <c r="R77" t="s">
        <v>704</v>
      </c>
      <c r="S77" t="s">
        <v>878</v>
      </c>
      <c r="T77" t="s">
        <v>902</v>
      </c>
      <c r="U77" t="s">
        <v>903</v>
      </c>
      <c r="V77" t="s">
        <v>904</v>
      </c>
      <c r="W77" t="s">
        <v>828</v>
      </c>
      <c r="X77" t="s">
        <v>564</v>
      </c>
      <c r="Y77" t="s">
        <v>574</v>
      </c>
      <c r="Z77" t="s">
        <v>574</v>
      </c>
      <c r="AA77" t="s">
        <v>565</v>
      </c>
      <c r="AB77" t="s">
        <v>905</v>
      </c>
      <c r="AC77" t="s">
        <v>596</v>
      </c>
      <c r="AD77" t="s">
        <v>695</v>
      </c>
      <c r="AE77" t="s">
        <v>696</v>
      </c>
      <c r="AF77" t="e">
        <f>IF(AND(HOUR(O77)&gt;=1,HOUR(O77)&lt;=13),VLOOKUP(B77,Programacion!$A$8:$S$1048576,16,FALSE),VLOOKUP(B77,Programacion!$A$8:$S$1048576,18,FALSE))</f>
        <v>#N/A</v>
      </c>
      <c r="AG77" t="e">
        <f>IF(AND(HOUR(O77)&gt;=1,HOUR(O77)&lt;=13),VLOOKUP(B77,Programacion!$A$8:$S$1048576,17,FALSE),VLOOKUP(B77,Programacion!$A$8:$S$1048576,19,FALSE))</f>
        <v>#N/A</v>
      </c>
    </row>
    <row r="78" spans="1:33" x14ac:dyDescent="0.25">
      <c r="A78" s="33" t="s">
        <v>194</v>
      </c>
      <c r="B78" t="s">
        <v>511</v>
      </c>
      <c r="C78" t="s">
        <v>907</v>
      </c>
      <c r="D78" t="s">
        <v>557</v>
      </c>
      <c r="E78" t="s">
        <v>558</v>
      </c>
      <c r="F78" t="s">
        <v>908</v>
      </c>
      <c r="G78" t="s">
        <v>560</v>
      </c>
      <c r="H78" t="s">
        <v>561</v>
      </c>
      <c r="I78" t="s">
        <v>909</v>
      </c>
      <c r="L78" t="s">
        <v>701</v>
      </c>
      <c r="M78" t="s">
        <v>564</v>
      </c>
      <c r="N78" t="s">
        <v>565</v>
      </c>
      <c r="O78" t="s">
        <v>702</v>
      </c>
      <c r="P78" t="s">
        <v>567</v>
      </c>
      <c r="Q78" t="s">
        <v>704</v>
      </c>
      <c r="R78" t="s">
        <v>704</v>
      </c>
      <c r="S78" t="s">
        <v>725</v>
      </c>
      <c r="T78" t="s">
        <v>910</v>
      </c>
      <c r="U78" t="s">
        <v>911</v>
      </c>
      <c r="V78" t="s">
        <v>912</v>
      </c>
      <c r="W78" t="s">
        <v>564</v>
      </c>
      <c r="X78" t="s">
        <v>564</v>
      </c>
      <c r="Y78" t="s">
        <v>574</v>
      </c>
      <c r="Z78" t="s">
        <v>574</v>
      </c>
      <c r="AA78" t="s">
        <v>565</v>
      </c>
      <c r="AB78" t="s">
        <v>913</v>
      </c>
      <c r="AC78" t="s">
        <v>588</v>
      </c>
      <c r="AD78" t="s">
        <v>914</v>
      </c>
      <c r="AE78" t="s">
        <v>915</v>
      </c>
      <c r="AF78" t="str">
        <f>IF(AND(HOUR(O78)&gt;=1,HOUR(O78)&lt;=13),VLOOKUP(B78,Programacion!$A$8:$S$1048576,16,FALSE),VLOOKUP(B78,Programacion!$A$8:$S$1048576,18,FALSE))</f>
        <v xml:space="preserve">  1995</v>
      </c>
      <c r="AG78" t="str">
        <f>IF(AND(HOUR(O78)&gt;=1,HOUR(O78)&lt;=13),VLOOKUP(B78,Programacion!$A$8:$S$1048576,17,FALSE),VLOOKUP(B78,Programacion!$A$8:$S$1048576,19,FALSE))</f>
        <v>GB01</v>
      </c>
    </row>
    <row r="79" spans="1:33" x14ac:dyDescent="0.25">
      <c r="A79" s="33" t="s">
        <v>194</v>
      </c>
      <c r="B79" t="s">
        <v>511</v>
      </c>
      <c r="C79" t="s">
        <v>907</v>
      </c>
      <c r="D79" t="s">
        <v>557</v>
      </c>
      <c r="E79" t="s">
        <v>558</v>
      </c>
      <c r="F79" t="s">
        <v>908</v>
      </c>
      <c r="G79" t="s">
        <v>560</v>
      </c>
      <c r="H79" t="s">
        <v>561</v>
      </c>
      <c r="I79" t="s">
        <v>909</v>
      </c>
      <c r="L79" t="s">
        <v>701</v>
      </c>
      <c r="M79" t="s">
        <v>564</v>
      </c>
      <c r="N79" t="s">
        <v>565</v>
      </c>
      <c r="O79" t="s">
        <v>702</v>
      </c>
      <c r="P79" t="s">
        <v>567</v>
      </c>
      <c r="Q79" t="s">
        <v>704</v>
      </c>
      <c r="R79" t="s">
        <v>704</v>
      </c>
      <c r="S79" t="s">
        <v>725</v>
      </c>
      <c r="T79" t="s">
        <v>916</v>
      </c>
      <c r="U79" t="s">
        <v>814</v>
      </c>
      <c r="V79" t="s">
        <v>917</v>
      </c>
      <c r="W79" t="s">
        <v>565</v>
      </c>
      <c r="X79" t="s">
        <v>564</v>
      </c>
      <c r="Y79" t="s">
        <v>574</v>
      </c>
      <c r="Z79" t="s">
        <v>574</v>
      </c>
      <c r="AA79" t="s">
        <v>565</v>
      </c>
      <c r="AB79" t="s">
        <v>580</v>
      </c>
      <c r="AC79" t="s">
        <v>588</v>
      </c>
      <c r="AD79" t="s">
        <v>757</v>
      </c>
      <c r="AE79" t="s">
        <v>637</v>
      </c>
      <c r="AF79" t="str">
        <f>IF(AND(HOUR(O79)&gt;=1,HOUR(O79)&lt;=13),VLOOKUP(B79,Programacion!$A$8:$S$1048576,16,FALSE),VLOOKUP(B79,Programacion!$A$8:$S$1048576,18,FALSE))</f>
        <v xml:space="preserve">  1995</v>
      </c>
      <c r="AG79" t="str">
        <f>IF(AND(HOUR(O79)&gt;=1,HOUR(O79)&lt;=13),VLOOKUP(B79,Programacion!$A$8:$S$1048576,17,FALSE),VLOOKUP(B79,Programacion!$A$8:$S$1048576,19,FALSE))</f>
        <v>GB01</v>
      </c>
    </row>
    <row r="80" spans="1:33" x14ac:dyDescent="0.25">
      <c r="A80" s="33" t="s">
        <v>194</v>
      </c>
      <c r="B80" t="s">
        <v>511</v>
      </c>
      <c r="C80" t="s">
        <v>907</v>
      </c>
      <c r="D80" t="s">
        <v>557</v>
      </c>
      <c r="E80" t="s">
        <v>558</v>
      </c>
      <c r="F80" t="s">
        <v>918</v>
      </c>
      <c r="G80" t="s">
        <v>560</v>
      </c>
      <c r="H80" t="s">
        <v>561</v>
      </c>
      <c r="I80" t="s">
        <v>919</v>
      </c>
      <c r="L80" t="s">
        <v>715</v>
      </c>
      <c r="M80" t="s">
        <v>564</v>
      </c>
      <c r="N80" t="s">
        <v>573</v>
      </c>
      <c r="O80" t="s">
        <v>819</v>
      </c>
      <c r="P80" t="s">
        <v>642</v>
      </c>
      <c r="Q80" t="s">
        <v>704</v>
      </c>
      <c r="R80" t="s">
        <v>704</v>
      </c>
      <c r="S80" t="s">
        <v>725</v>
      </c>
      <c r="T80" t="s">
        <v>920</v>
      </c>
      <c r="U80" t="s">
        <v>777</v>
      </c>
      <c r="V80" t="s">
        <v>921</v>
      </c>
      <c r="W80" t="s">
        <v>645</v>
      </c>
      <c r="X80" t="s">
        <v>564</v>
      </c>
      <c r="Y80" t="s">
        <v>574</v>
      </c>
      <c r="Z80" t="s">
        <v>574</v>
      </c>
      <c r="AA80" t="s">
        <v>565</v>
      </c>
      <c r="AB80" t="s">
        <v>780</v>
      </c>
      <c r="AC80" t="s">
        <v>576</v>
      </c>
      <c r="AD80" t="s">
        <v>922</v>
      </c>
      <c r="AE80" t="s">
        <v>923</v>
      </c>
      <c r="AF80" t="str">
        <f>IF(AND(HOUR(O80)&gt;=1,HOUR(O80)&lt;=13),VLOOKUP(B80,Programacion!$A$8:$S$1048576,16,FALSE),VLOOKUP(B80,Programacion!$A$8:$S$1048576,18,FALSE))</f>
        <v xml:space="preserve">  1995</v>
      </c>
      <c r="AG80" t="str">
        <f>IF(AND(HOUR(O80)&gt;=1,HOUR(O80)&lt;=13),VLOOKUP(B80,Programacion!$A$8:$S$1048576,17,FALSE),VLOOKUP(B80,Programacion!$A$8:$S$1048576,19,FALSE))</f>
        <v>GB01</v>
      </c>
    </row>
    <row r="81" spans="1:33" x14ac:dyDescent="0.25">
      <c r="A81" s="33" t="s">
        <v>194</v>
      </c>
      <c r="B81" t="s">
        <v>511</v>
      </c>
      <c r="C81" t="s">
        <v>907</v>
      </c>
      <c r="D81" t="s">
        <v>557</v>
      </c>
      <c r="E81" t="s">
        <v>558</v>
      </c>
      <c r="F81" t="s">
        <v>918</v>
      </c>
      <c r="G81" t="s">
        <v>560</v>
      </c>
      <c r="H81" t="s">
        <v>561</v>
      </c>
      <c r="I81" t="s">
        <v>919</v>
      </c>
      <c r="L81" t="s">
        <v>715</v>
      </c>
      <c r="M81" t="s">
        <v>564</v>
      </c>
      <c r="N81" t="s">
        <v>573</v>
      </c>
      <c r="O81" t="s">
        <v>819</v>
      </c>
      <c r="P81" t="s">
        <v>642</v>
      </c>
      <c r="Q81" t="s">
        <v>704</v>
      </c>
      <c r="R81" t="s">
        <v>704</v>
      </c>
      <c r="S81" t="s">
        <v>725</v>
      </c>
      <c r="T81" t="s">
        <v>920</v>
      </c>
      <c r="U81" t="s">
        <v>777</v>
      </c>
      <c r="V81" t="s">
        <v>921</v>
      </c>
      <c r="W81" t="s">
        <v>645</v>
      </c>
      <c r="X81" t="s">
        <v>564</v>
      </c>
      <c r="Y81" t="s">
        <v>574</v>
      </c>
      <c r="Z81" t="s">
        <v>574</v>
      </c>
      <c r="AA81" t="s">
        <v>565</v>
      </c>
      <c r="AB81" t="s">
        <v>780</v>
      </c>
      <c r="AC81" t="s">
        <v>588</v>
      </c>
      <c r="AD81" t="s">
        <v>589</v>
      </c>
      <c r="AE81" t="s">
        <v>756</v>
      </c>
      <c r="AF81" t="str">
        <f>IF(AND(HOUR(O81)&gt;=1,HOUR(O81)&lt;=13),VLOOKUP(B81,Programacion!$A$8:$S$1048576,16,FALSE),VLOOKUP(B81,Programacion!$A$8:$S$1048576,18,FALSE))</f>
        <v xml:space="preserve">  1995</v>
      </c>
      <c r="AG81" t="str">
        <f>IF(AND(HOUR(O81)&gt;=1,HOUR(O81)&lt;=13),VLOOKUP(B81,Programacion!$A$8:$S$1048576,17,FALSE),VLOOKUP(B81,Programacion!$A$8:$S$1048576,19,FALSE))</f>
        <v>GB01</v>
      </c>
    </row>
    <row r="82" spans="1:33" x14ac:dyDescent="0.25">
      <c r="A82" s="33" t="s">
        <v>194</v>
      </c>
      <c r="B82" t="s">
        <v>511</v>
      </c>
      <c r="C82" t="s">
        <v>907</v>
      </c>
      <c r="D82" t="s">
        <v>557</v>
      </c>
      <c r="E82" t="s">
        <v>558</v>
      </c>
      <c r="F82" t="s">
        <v>924</v>
      </c>
      <c r="G82" t="s">
        <v>560</v>
      </c>
      <c r="H82" t="s">
        <v>561</v>
      </c>
      <c r="I82" t="s">
        <v>925</v>
      </c>
      <c r="L82" t="s">
        <v>737</v>
      </c>
      <c r="M82" t="s">
        <v>564</v>
      </c>
      <c r="N82" t="s">
        <v>573</v>
      </c>
      <c r="O82" t="s">
        <v>609</v>
      </c>
      <c r="P82" t="s">
        <v>642</v>
      </c>
      <c r="Q82" t="s">
        <v>704</v>
      </c>
      <c r="R82" t="s">
        <v>704</v>
      </c>
      <c r="S82" t="s">
        <v>725</v>
      </c>
      <c r="T82" t="s">
        <v>926</v>
      </c>
      <c r="U82" t="s">
        <v>680</v>
      </c>
      <c r="V82" t="s">
        <v>927</v>
      </c>
      <c r="W82" t="s">
        <v>645</v>
      </c>
      <c r="X82" t="s">
        <v>564</v>
      </c>
      <c r="Y82" t="s">
        <v>574</v>
      </c>
      <c r="Z82" t="s">
        <v>574</v>
      </c>
      <c r="AA82" t="s">
        <v>565</v>
      </c>
      <c r="AB82" t="s">
        <v>683</v>
      </c>
      <c r="AC82" t="s">
        <v>596</v>
      </c>
      <c r="AD82" t="s">
        <v>849</v>
      </c>
      <c r="AE82" t="s">
        <v>928</v>
      </c>
      <c r="AF82" t="str">
        <f>IF(AND(HOUR(O82)&gt;=1,HOUR(O82)&lt;=13),VLOOKUP(B82,Programacion!$A$8:$S$1048576,16,FALSE),VLOOKUP(B82,Programacion!$A$8:$S$1048576,18,FALSE))</f>
        <v xml:space="preserve">  2014</v>
      </c>
      <c r="AG82" t="str">
        <f>IF(AND(HOUR(O82)&gt;=1,HOUR(O82)&lt;=13),VLOOKUP(B82,Programacion!$A$8:$S$1048576,17,FALSE),VLOOKUP(B82,Programacion!$A$8:$S$1048576,19,FALSE))</f>
        <v>GB01</v>
      </c>
    </row>
    <row r="83" spans="1:33" x14ac:dyDescent="0.25">
      <c r="A83" s="33" t="s">
        <v>194</v>
      </c>
      <c r="B83" t="s">
        <v>511</v>
      </c>
      <c r="C83" t="s">
        <v>907</v>
      </c>
      <c r="D83" t="s">
        <v>557</v>
      </c>
      <c r="E83" t="s">
        <v>558</v>
      </c>
      <c r="F83" t="s">
        <v>924</v>
      </c>
      <c r="G83" t="s">
        <v>560</v>
      </c>
      <c r="H83" t="s">
        <v>561</v>
      </c>
      <c r="I83" t="s">
        <v>925</v>
      </c>
      <c r="L83" t="s">
        <v>737</v>
      </c>
      <c r="M83" t="s">
        <v>564</v>
      </c>
      <c r="N83" t="s">
        <v>573</v>
      </c>
      <c r="O83" t="s">
        <v>609</v>
      </c>
      <c r="P83" t="s">
        <v>642</v>
      </c>
      <c r="Q83" t="s">
        <v>704</v>
      </c>
      <c r="R83" t="s">
        <v>704</v>
      </c>
      <c r="S83" t="s">
        <v>725</v>
      </c>
      <c r="T83" t="s">
        <v>926</v>
      </c>
      <c r="U83" t="s">
        <v>680</v>
      </c>
      <c r="V83" t="s">
        <v>927</v>
      </c>
      <c r="W83" t="s">
        <v>645</v>
      </c>
      <c r="X83" t="s">
        <v>564</v>
      </c>
      <c r="Y83" t="s">
        <v>574</v>
      </c>
      <c r="Z83" t="s">
        <v>574</v>
      </c>
      <c r="AA83" t="s">
        <v>565</v>
      </c>
      <c r="AB83" t="s">
        <v>683</v>
      </c>
      <c r="AC83" t="s">
        <v>588</v>
      </c>
      <c r="AD83" t="s">
        <v>599</v>
      </c>
      <c r="AE83" t="s">
        <v>647</v>
      </c>
      <c r="AF83" t="str">
        <f>IF(AND(HOUR(O83)&gt;=1,HOUR(O83)&lt;=13),VLOOKUP(B83,Programacion!$A$8:$S$1048576,16,FALSE),VLOOKUP(B83,Programacion!$A$8:$S$1048576,18,FALSE))</f>
        <v xml:space="preserve">  2014</v>
      </c>
      <c r="AG83" t="str">
        <f>IF(AND(HOUR(O83)&gt;=1,HOUR(O83)&lt;=13),VLOOKUP(B83,Programacion!$A$8:$S$1048576,17,FALSE),VLOOKUP(B83,Programacion!$A$8:$S$1048576,19,FALSE))</f>
        <v>GB01</v>
      </c>
    </row>
    <row r="84" spans="1:33" x14ac:dyDescent="0.25">
      <c r="A84" s="33" t="s">
        <v>194</v>
      </c>
      <c r="B84" t="s">
        <v>511</v>
      </c>
      <c r="C84" t="s">
        <v>907</v>
      </c>
      <c r="D84" t="s">
        <v>557</v>
      </c>
      <c r="E84" t="s">
        <v>558</v>
      </c>
      <c r="F84" t="s">
        <v>924</v>
      </c>
      <c r="G84" t="s">
        <v>560</v>
      </c>
      <c r="H84" t="s">
        <v>561</v>
      </c>
      <c r="I84" t="s">
        <v>925</v>
      </c>
      <c r="L84" t="s">
        <v>737</v>
      </c>
      <c r="M84" t="s">
        <v>564</v>
      </c>
      <c r="N84" t="s">
        <v>573</v>
      </c>
      <c r="O84" t="s">
        <v>609</v>
      </c>
      <c r="P84" t="s">
        <v>642</v>
      </c>
      <c r="Q84" t="s">
        <v>704</v>
      </c>
      <c r="R84" t="s">
        <v>704</v>
      </c>
      <c r="S84" t="s">
        <v>725</v>
      </c>
      <c r="T84" t="s">
        <v>926</v>
      </c>
      <c r="U84" t="s">
        <v>680</v>
      </c>
      <c r="V84" t="s">
        <v>927</v>
      </c>
      <c r="W84" t="s">
        <v>645</v>
      </c>
      <c r="X84" t="s">
        <v>564</v>
      </c>
      <c r="Y84" t="s">
        <v>574</v>
      </c>
      <c r="Z84" t="s">
        <v>574</v>
      </c>
      <c r="AA84" t="s">
        <v>565</v>
      </c>
      <c r="AB84" t="s">
        <v>683</v>
      </c>
      <c r="AC84" t="s">
        <v>598</v>
      </c>
      <c r="AD84" t="s">
        <v>757</v>
      </c>
      <c r="AE84" t="s">
        <v>758</v>
      </c>
      <c r="AF84" t="str">
        <f>IF(AND(HOUR(O84)&gt;=1,HOUR(O84)&lt;=13),VLOOKUP(B84,Programacion!$A$8:$S$1048576,16,FALSE),VLOOKUP(B84,Programacion!$A$8:$S$1048576,18,FALSE))</f>
        <v xml:space="preserve">  2014</v>
      </c>
      <c r="AG84" t="str">
        <f>IF(AND(HOUR(O84)&gt;=1,HOUR(O84)&lt;=13),VLOOKUP(B84,Programacion!$A$8:$S$1048576,17,FALSE),VLOOKUP(B84,Programacion!$A$8:$S$1048576,19,FALSE))</f>
        <v>GB01</v>
      </c>
    </row>
    <row r="85" spans="1:33" x14ac:dyDescent="0.25">
      <c r="A85" s="33" t="s">
        <v>194</v>
      </c>
      <c r="B85" t="s">
        <v>511</v>
      </c>
      <c r="C85" t="s">
        <v>907</v>
      </c>
      <c r="D85" t="s">
        <v>557</v>
      </c>
      <c r="E85" t="s">
        <v>558</v>
      </c>
      <c r="F85" t="s">
        <v>929</v>
      </c>
      <c r="G85" t="s">
        <v>560</v>
      </c>
      <c r="H85" t="s">
        <v>561</v>
      </c>
      <c r="I85" t="s">
        <v>930</v>
      </c>
      <c r="L85" t="s">
        <v>900</v>
      </c>
      <c r="M85" t="s">
        <v>564</v>
      </c>
      <c r="N85" t="s">
        <v>573</v>
      </c>
      <c r="O85" t="s">
        <v>901</v>
      </c>
      <c r="P85" t="s">
        <v>605</v>
      </c>
      <c r="Q85" t="s">
        <v>704</v>
      </c>
      <c r="R85" t="s">
        <v>704</v>
      </c>
      <c r="S85" t="s">
        <v>725</v>
      </c>
      <c r="T85" t="s">
        <v>794</v>
      </c>
      <c r="U85" t="s">
        <v>866</v>
      </c>
      <c r="V85" t="s">
        <v>931</v>
      </c>
      <c r="W85" t="s">
        <v>586</v>
      </c>
      <c r="X85" t="s">
        <v>564</v>
      </c>
      <c r="Y85" t="s">
        <v>574</v>
      </c>
      <c r="Z85" t="s">
        <v>574</v>
      </c>
      <c r="AA85" t="s">
        <v>565</v>
      </c>
      <c r="AB85" t="s">
        <v>868</v>
      </c>
      <c r="AC85" t="s">
        <v>576</v>
      </c>
      <c r="AD85" t="s">
        <v>914</v>
      </c>
      <c r="AE85" t="s">
        <v>932</v>
      </c>
      <c r="AF85" t="str">
        <f>IF(AND(HOUR(O85)&gt;=1,HOUR(O85)&lt;=13),VLOOKUP(B85,Programacion!$A$8:$S$1048576,16,FALSE),VLOOKUP(B85,Programacion!$A$8:$S$1048576,18,FALSE))</f>
        <v xml:space="preserve">  2014</v>
      </c>
      <c r="AG85" t="str">
        <f>IF(AND(HOUR(O85)&gt;=1,HOUR(O85)&lt;=13),VLOOKUP(B85,Programacion!$A$8:$S$1048576,17,FALSE),VLOOKUP(B85,Programacion!$A$8:$S$1048576,19,FALSE))</f>
        <v>GB01</v>
      </c>
    </row>
    <row r="86" spans="1:33" x14ac:dyDescent="0.25">
      <c r="A86" s="33" t="s">
        <v>194</v>
      </c>
      <c r="B86" t="s">
        <v>511</v>
      </c>
      <c r="C86" t="s">
        <v>907</v>
      </c>
      <c r="D86" t="s">
        <v>557</v>
      </c>
      <c r="E86" t="s">
        <v>558</v>
      </c>
      <c r="F86" t="s">
        <v>929</v>
      </c>
      <c r="G86" t="s">
        <v>560</v>
      </c>
      <c r="H86" t="s">
        <v>561</v>
      </c>
      <c r="I86" t="s">
        <v>930</v>
      </c>
      <c r="L86" t="s">
        <v>900</v>
      </c>
      <c r="M86" t="s">
        <v>564</v>
      </c>
      <c r="N86" t="s">
        <v>573</v>
      </c>
      <c r="O86" t="s">
        <v>901</v>
      </c>
      <c r="P86" t="s">
        <v>605</v>
      </c>
      <c r="Q86" t="s">
        <v>704</v>
      </c>
      <c r="R86" t="s">
        <v>704</v>
      </c>
      <c r="S86" t="s">
        <v>725</v>
      </c>
      <c r="T86" t="s">
        <v>794</v>
      </c>
      <c r="U86" t="s">
        <v>866</v>
      </c>
      <c r="V86" t="s">
        <v>931</v>
      </c>
      <c r="W86" t="s">
        <v>586</v>
      </c>
      <c r="X86" t="s">
        <v>564</v>
      </c>
      <c r="Y86" t="s">
        <v>574</v>
      </c>
      <c r="Z86" t="s">
        <v>574</v>
      </c>
      <c r="AA86" t="s">
        <v>565</v>
      </c>
      <c r="AB86" t="s">
        <v>868</v>
      </c>
      <c r="AC86" t="s">
        <v>596</v>
      </c>
      <c r="AD86" t="s">
        <v>798</v>
      </c>
      <c r="AE86" t="s">
        <v>618</v>
      </c>
      <c r="AF86" t="str">
        <f>IF(AND(HOUR(O86)&gt;=1,HOUR(O86)&lt;=13),VLOOKUP(B86,Programacion!$A$8:$S$1048576,16,FALSE),VLOOKUP(B86,Programacion!$A$8:$S$1048576,18,FALSE))</f>
        <v xml:space="preserve">  2014</v>
      </c>
      <c r="AG86" t="str">
        <f>IF(AND(HOUR(O86)&gt;=1,HOUR(O86)&lt;=13),VLOOKUP(B86,Programacion!$A$8:$S$1048576,17,FALSE),VLOOKUP(B86,Programacion!$A$8:$S$1048576,19,FALSE))</f>
        <v>GB01</v>
      </c>
    </row>
    <row r="87" spans="1:33" x14ac:dyDescent="0.25">
      <c r="A87" s="33" t="s">
        <v>194</v>
      </c>
      <c r="B87" t="s">
        <v>511</v>
      </c>
      <c r="C87" t="s">
        <v>907</v>
      </c>
      <c r="D87" t="s">
        <v>557</v>
      </c>
      <c r="E87" t="s">
        <v>558</v>
      </c>
      <c r="F87" t="s">
        <v>929</v>
      </c>
      <c r="G87" t="s">
        <v>560</v>
      </c>
      <c r="H87" t="s">
        <v>561</v>
      </c>
      <c r="I87" t="s">
        <v>930</v>
      </c>
      <c r="L87" t="s">
        <v>900</v>
      </c>
      <c r="M87" t="s">
        <v>564</v>
      </c>
      <c r="N87" t="s">
        <v>573</v>
      </c>
      <c r="O87" t="s">
        <v>901</v>
      </c>
      <c r="P87" t="s">
        <v>605</v>
      </c>
      <c r="Q87" t="s">
        <v>704</v>
      </c>
      <c r="R87" t="s">
        <v>704</v>
      </c>
      <c r="S87" t="s">
        <v>725</v>
      </c>
      <c r="T87" t="s">
        <v>794</v>
      </c>
      <c r="U87" t="s">
        <v>866</v>
      </c>
      <c r="V87" t="s">
        <v>931</v>
      </c>
      <c r="W87" t="s">
        <v>586</v>
      </c>
      <c r="X87" t="s">
        <v>564</v>
      </c>
      <c r="Y87" t="s">
        <v>574</v>
      </c>
      <c r="Z87" t="s">
        <v>574</v>
      </c>
      <c r="AA87" t="s">
        <v>565</v>
      </c>
      <c r="AB87" t="s">
        <v>868</v>
      </c>
      <c r="AC87" t="s">
        <v>598</v>
      </c>
      <c r="AD87" t="s">
        <v>695</v>
      </c>
      <c r="AE87" t="s">
        <v>696</v>
      </c>
      <c r="AF87" t="str">
        <f>IF(AND(HOUR(O87)&gt;=1,HOUR(O87)&lt;=13),VLOOKUP(B87,Programacion!$A$8:$S$1048576,16,FALSE),VLOOKUP(B87,Programacion!$A$8:$S$1048576,18,FALSE))</f>
        <v xml:space="preserve">  2014</v>
      </c>
      <c r="AG87" t="str">
        <f>IF(AND(HOUR(O87)&gt;=1,HOUR(O87)&lt;=13),VLOOKUP(B87,Programacion!$A$8:$S$1048576,17,FALSE),VLOOKUP(B87,Programacion!$A$8:$S$1048576,19,FALSE))</f>
        <v>GB01</v>
      </c>
    </row>
    <row r="88" spans="1:33" x14ac:dyDescent="0.25">
      <c r="A88" s="33" t="s">
        <v>933</v>
      </c>
      <c r="B88" t="s">
        <v>470</v>
      </c>
      <c r="C88" t="s">
        <v>934</v>
      </c>
      <c r="D88" t="s">
        <v>557</v>
      </c>
      <c r="E88" t="s">
        <v>558</v>
      </c>
      <c r="F88" t="s">
        <v>935</v>
      </c>
      <c r="G88" t="s">
        <v>560</v>
      </c>
      <c r="H88" t="s">
        <v>561</v>
      </c>
      <c r="I88" t="s">
        <v>936</v>
      </c>
      <c r="L88" t="s">
        <v>701</v>
      </c>
      <c r="M88" t="s">
        <v>564</v>
      </c>
      <c r="N88" t="s">
        <v>573</v>
      </c>
      <c r="O88" t="s">
        <v>631</v>
      </c>
      <c r="P88" t="s">
        <v>937</v>
      </c>
      <c r="Q88" t="s">
        <v>704</v>
      </c>
      <c r="R88" t="s">
        <v>704</v>
      </c>
      <c r="S88" t="s">
        <v>938</v>
      </c>
      <c r="T88" t="s">
        <v>939</v>
      </c>
      <c r="U88" t="s">
        <v>940</v>
      </c>
      <c r="V88" t="s">
        <v>941</v>
      </c>
      <c r="W88" t="s">
        <v>645</v>
      </c>
      <c r="X88" t="s">
        <v>564</v>
      </c>
      <c r="Y88" t="s">
        <v>574</v>
      </c>
      <c r="Z88" t="s">
        <v>574</v>
      </c>
      <c r="AA88" t="s">
        <v>565</v>
      </c>
      <c r="AB88" t="s">
        <v>942</v>
      </c>
      <c r="AC88" t="s">
        <v>576</v>
      </c>
      <c r="AD88" t="s">
        <v>692</v>
      </c>
      <c r="AE88" t="s">
        <v>671</v>
      </c>
      <c r="AF88" t="e">
        <f>IF(AND(HOUR(O88)&gt;=1,HOUR(O88)&lt;=13),VLOOKUP(B88,Programacion!$A$8:$S$1048576,16,FALSE),VLOOKUP(B88,Programacion!$A$8:$S$1048576,18,FALSE))</f>
        <v>#N/A</v>
      </c>
      <c r="AG88" t="e">
        <f>IF(AND(HOUR(O88)&gt;=1,HOUR(O88)&lt;=13),VLOOKUP(B88,Programacion!$A$8:$S$1048576,17,FALSE),VLOOKUP(B88,Programacion!$A$8:$S$1048576,19,FALSE))</f>
        <v>#N/A</v>
      </c>
    </row>
    <row r="89" spans="1:33" x14ac:dyDescent="0.25">
      <c r="A89" s="33" t="s">
        <v>933</v>
      </c>
      <c r="B89" t="s">
        <v>470</v>
      </c>
      <c r="C89" t="s">
        <v>934</v>
      </c>
      <c r="D89" t="s">
        <v>557</v>
      </c>
      <c r="E89" t="s">
        <v>558</v>
      </c>
      <c r="F89" t="s">
        <v>935</v>
      </c>
      <c r="G89" t="s">
        <v>560</v>
      </c>
      <c r="H89" t="s">
        <v>561</v>
      </c>
      <c r="I89" t="s">
        <v>936</v>
      </c>
      <c r="L89" t="s">
        <v>701</v>
      </c>
      <c r="M89" t="s">
        <v>564</v>
      </c>
      <c r="N89" t="s">
        <v>573</v>
      </c>
      <c r="O89" t="s">
        <v>631</v>
      </c>
      <c r="P89" t="s">
        <v>937</v>
      </c>
      <c r="Q89" t="s">
        <v>704</v>
      </c>
      <c r="R89" t="s">
        <v>704</v>
      </c>
      <c r="S89" t="s">
        <v>938</v>
      </c>
      <c r="T89" t="s">
        <v>943</v>
      </c>
      <c r="U89" t="s">
        <v>718</v>
      </c>
      <c r="V89" t="s">
        <v>944</v>
      </c>
      <c r="W89" t="s">
        <v>945</v>
      </c>
      <c r="X89" t="s">
        <v>564</v>
      </c>
      <c r="Y89" t="s">
        <v>574</v>
      </c>
      <c r="Z89" t="s">
        <v>574</v>
      </c>
      <c r="AA89" t="s">
        <v>565</v>
      </c>
      <c r="AB89" t="s">
        <v>822</v>
      </c>
      <c r="AC89" t="s">
        <v>576</v>
      </c>
      <c r="AD89" t="s">
        <v>695</v>
      </c>
      <c r="AE89" t="s">
        <v>663</v>
      </c>
      <c r="AF89" t="e">
        <f>IF(AND(HOUR(O89)&gt;=1,HOUR(O89)&lt;=13),VLOOKUP(B89,Programacion!$A$8:$S$1048576,16,FALSE),VLOOKUP(B89,Programacion!$A$8:$S$1048576,18,FALSE))</f>
        <v>#N/A</v>
      </c>
      <c r="AG89" t="e">
        <f>IF(AND(HOUR(O89)&gt;=1,HOUR(O89)&lt;=13),VLOOKUP(B89,Programacion!$A$8:$S$1048576,17,FALSE),VLOOKUP(B89,Programacion!$A$8:$S$1048576,19,FALSE))</f>
        <v>#N/A</v>
      </c>
    </row>
    <row r="90" spans="1:33" x14ac:dyDescent="0.25">
      <c r="A90" s="33" t="s">
        <v>933</v>
      </c>
      <c r="B90" t="s">
        <v>470</v>
      </c>
      <c r="C90" t="s">
        <v>934</v>
      </c>
      <c r="D90" t="s">
        <v>557</v>
      </c>
      <c r="E90" t="s">
        <v>558</v>
      </c>
      <c r="F90" t="s">
        <v>935</v>
      </c>
      <c r="G90" t="s">
        <v>560</v>
      </c>
      <c r="H90" t="s">
        <v>561</v>
      </c>
      <c r="I90" t="s">
        <v>936</v>
      </c>
      <c r="L90" t="s">
        <v>701</v>
      </c>
      <c r="M90" t="s">
        <v>564</v>
      </c>
      <c r="N90" t="s">
        <v>573</v>
      </c>
      <c r="O90" t="s">
        <v>631</v>
      </c>
      <c r="P90" t="s">
        <v>937</v>
      </c>
      <c r="Q90" t="s">
        <v>704</v>
      </c>
      <c r="R90" t="s">
        <v>704</v>
      </c>
      <c r="S90" t="s">
        <v>938</v>
      </c>
      <c r="T90" t="s">
        <v>943</v>
      </c>
      <c r="U90" t="s">
        <v>718</v>
      </c>
      <c r="V90" t="s">
        <v>944</v>
      </c>
      <c r="W90" t="s">
        <v>945</v>
      </c>
      <c r="X90" t="s">
        <v>564</v>
      </c>
      <c r="Y90" t="s">
        <v>574</v>
      </c>
      <c r="Z90" t="s">
        <v>574</v>
      </c>
      <c r="AA90" t="s">
        <v>565</v>
      </c>
      <c r="AB90" t="s">
        <v>822</v>
      </c>
      <c r="AC90" t="s">
        <v>596</v>
      </c>
      <c r="AD90" t="s">
        <v>589</v>
      </c>
      <c r="AE90" t="s">
        <v>946</v>
      </c>
      <c r="AF90" t="e">
        <f>IF(AND(HOUR(O90)&gt;=1,HOUR(O90)&lt;=13),VLOOKUP(B90,Programacion!$A$8:$S$1048576,16,FALSE),VLOOKUP(B90,Programacion!$A$8:$S$1048576,18,FALSE))</f>
        <v>#N/A</v>
      </c>
      <c r="AG90" t="e">
        <f>IF(AND(HOUR(O90)&gt;=1,HOUR(O90)&lt;=13),VLOOKUP(B90,Programacion!$A$8:$S$1048576,17,FALSE),VLOOKUP(B90,Programacion!$A$8:$S$1048576,19,FALSE))</f>
        <v>#N/A</v>
      </c>
    </row>
    <row r="91" spans="1:33" x14ac:dyDescent="0.25">
      <c r="A91" s="33" t="s">
        <v>933</v>
      </c>
      <c r="B91" t="s">
        <v>470</v>
      </c>
      <c r="C91" t="s">
        <v>934</v>
      </c>
      <c r="D91" t="s">
        <v>557</v>
      </c>
      <c r="E91" t="s">
        <v>558</v>
      </c>
      <c r="F91" t="s">
        <v>935</v>
      </c>
      <c r="G91" t="s">
        <v>560</v>
      </c>
      <c r="H91" t="s">
        <v>561</v>
      </c>
      <c r="I91" t="s">
        <v>936</v>
      </c>
      <c r="L91" t="s">
        <v>701</v>
      </c>
      <c r="M91" t="s">
        <v>564</v>
      </c>
      <c r="N91" t="s">
        <v>573</v>
      </c>
      <c r="O91" t="s">
        <v>631</v>
      </c>
      <c r="P91" t="s">
        <v>937</v>
      </c>
      <c r="Q91" t="s">
        <v>704</v>
      </c>
      <c r="R91" t="s">
        <v>704</v>
      </c>
      <c r="S91" t="s">
        <v>938</v>
      </c>
      <c r="T91" t="s">
        <v>943</v>
      </c>
      <c r="U91" t="s">
        <v>718</v>
      </c>
      <c r="V91" t="s">
        <v>944</v>
      </c>
      <c r="W91" t="s">
        <v>945</v>
      </c>
      <c r="X91" t="s">
        <v>564</v>
      </c>
      <c r="Y91" t="s">
        <v>574</v>
      </c>
      <c r="Z91" t="s">
        <v>574</v>
      </c>
      <c r="AA91" t="s">
        <v>565</v>
      </c>
      <c r="AB91" t="s">
        <v>822</v>
      </c>
      <c r="AC91" t="s">
        <v>598</v>
      </c>
      <c r="AD91" t="s">
        <v>695</v>
      </c>
      <c r="AE91" t="s">
        <v>647</v>
      </c>
      <c r="AF91" t="e">
        <f>IF(AND(HOUR(O91)&gt;=1,HOUR(O91)&lt;=13),VLOOKUP(B91,Programacion!$A$8:$S$1048576,16,FALSE),VLOOKUP(B91,Programacion!$A$8:$S$1048576,18,FALSE))</f>
        <v>#N/A</v>
      </c>
      <c r="AG91" t="e">
        <f>IF(AND(HOUR(O91)&gt;=1,HOUR(O91)&lt;=13),VLOOKUP(B91,Programacion!$A$8:$S$1048576,17,FALSE),VLOOKUP(B91,Programacion!$A$8:$S$1048576,19,FALSE))</f>
        <v>#N/A</v>
      </c>
    </row>
    <row r="92" spans="1:33" x14ac:dyDescent="0.25">
      <c r="A92" s="33" t="s">
        <v>947</v>
      </c>
      <c r="B92" t="s">
        <v>481</v>
      </c>
      <c r="C92" t="s">
        <v>948</v>
      </c>
      <c r="D92" t="s">
        <v>557</v>
      </c>
      <c r="E92" t="s">
        <v>558</v>
      </c>
      <c r="F92" t="s">
        <v>949</v>
      </c>
      <c r="G92" t="s">
        <v>560</v>
      </c>
      <c r="H92" t="s">
        <v>561</v>
      </c>
      <c r="I92" t="s">
        <v>950</v>
      </c>
      <c r="L92" t="s">
        <v>951</v>
      </c>
      <c r="M92" t="s">
        <v>564</v>
      </c>
      <c r="N92" t="s">
        <v>573</v>
      </c>
      <c r="O92" t="s">
        <v>952</v>
      </c>
      <c r="P92" t="s">
        <v>833</v>
      </c>
      <c r="Q92" t="s">
        <v>704</v>
      </c>
      <c r="R92" t="s">
        <v>704</v>
      </c>
      <c r="S92" t="s">
        <v>705</v>
      </c>
      <c r="T92" t="s">
        <v>953</v>
      </c>
      <c r="U92" t="s">
        <v>777</v>
      </c>
      <c r="V92" t="s">
        <v>954</v>
      </c>
      <c r="W92" t="s">
        <v>586</v>
      </c>
      <c r="X92" t="s">
        <v>564</v>
      </c>
      <c r="Y92" t="s">
        <v>574</v>
      </c>
      <c r="Z92" t="s">
        <v>574</v>
      </c>
      <c r="AA92" t="s">
        <v>565</v>
      </c>
      <c r="AB92" t="s">
        <v>955</v>
      </c>
      <c r="AC92" t="s">
        <v>596</v>
      </c>
      <c r="AD92" t="s">
        <v>695</v>
      </c>
      <c r="AE92" t="s">
        <v>663</v>
      </c>
      <c r="AF92" t="str">
        <f>IF(AND(HOUR(O92)&gt;=1,HOUR(O92)&lt;=13),VLOOKUP(B92,Programacion!$A$8:$S$1048576,16,FALSE),VLOOKUP(B92,Programacion!$A$8:$S$1048576,18,FALSE))</f>
        <v xml:space="preserve">   964</v>
      </c>
      <c r="AG92" t="str">
        <f>IF(AND(HOUR(O92)&gt;=1,HOUR(O92)&lt;=13),VLOOKUP(B92,Programacion!$A$8:$S$1048576,17,FALSE),VLOOKUP(B92,Programacion!$A$8:$S$1048576,19,FALSE))</f>
        <v>GB01</v>
      </c>
    </row>
    <row r="93" spans="1:33" x14ac:dyDescent="0.25">
      <c r="A93" s="33" t="s">
        <v>947</v>
      </c>
      <c r="B93" t="s">
        <v>481</v>
      </c>
      <c r="C93" t="s">
        <v>948</v>
      </c>
      <c r="D93" t="s">
        <v>557</v>
      </c>
      <c r="E93" t="s">
        <v>558</v>
      </c>
      <c r="F93" t="s">
        <v>949</v>
      </c>
      <c r="G93" t="s">
        <v>560</v>
      </c>
      <c r="H93" t="s">
        <v>561</v>
      </c>
      <c r="I93" t="s">
        <v>950</v>
      </c>
      <c r="L93" t="s">
        <v>951</v>
      </c>
      <c r="M93" t="s">
        <v>564</v>
      </c>
      <c r="N93" t="s">
        <v>573</v>
      </c>
      <c r="O93" t="s">
        <v>952</v>
      </c>
      <c r="P93" t="s">
        <v>833</v>
      </c>
      <c r="Q93" t="s">
        <v>704</v>
      </c>
      <c r="R93" t="s">
        <v>704</v>
      </c>
      <c r="S93" t="s">
        <v>705</v>
      </c>
      <c r="T93" t="s">
        <v>953</v>
      </c>
      <c r="U93" t="s">
        <v>777</v>
      </c>
      <c r="V93" t="s">
        <v>954</v>
      </c>
      <c r="W93" t="s">
        <v>586</v>
      </c>
      <c r="X93" t="s">
        <v>564</v>
      </c>
      <c r="Y93" t="s">
        <v>574</v>
      </c>
      <c r="Z93" t="s">
        <v>574</v>
      </c>
      <c r="AA93" t="s">
        <v>565</v>
      </c>
      <c r="AB93" t="s">
        <v>955</v>
      </c>
      <c r="AC93" t="s">
        <v>598</v>
      </c>
      <c r="AD93" t="s">
        <v>599</v>
      </c>
      <c r="AE93" t="s">
        <v>651</v>
      </c>
      <c r="AF93" t="str">
        <f>IF(AND(HOUR(O93)&gt;=1,HOUR(O93)&lt;=13),VLOOKUP(B93,Programacion!$A$8:$S$1048576,16,FALSE),VLOOKUP(B93,Programacion!$A$8:$S$1048576,18,FALSE))</f>
        <v xml:space="preserve">   964</v>
      </c>
      <c r="AG93" t="str">
        <f>IF(AND(HOUR(O93)&gt;=1,HOUR(O93)&lt;=13),VLOOKUP(B93,Programacion!$A$8:$S$1048576,17,FALSE),VLOOKUP(B93,Programacion!$A$8:$S$1048576,19,FALSE))</f>
        <v>GB01</v>
      </c>
    </row>
    <row r="94" spans="1:33" x14ac:dyDescent="0.25">
      <c r="A94" s="33" t="s">
        <v>947</v>
      </c>
      <c r="B94" t="s">
        <v>481</v>
      </c>
      <c r="C94" t="s">
        <v>948</v>
      </c>
      <c r="D94" t="s">
        <v>557</v>
      </c>
      <c r="E94" t="s">
        <v>558</v>
      </c>
      <c r="F94" t="s">
        <v>949</v>
      </c>
      <c r="G94" t="s">
        <v>560</v>
      </c>
      <c r="H94" t="s">
        <v>561</v>
      </c>
      <c r="I94" t="s">
        <v>950</v>
      </c>
      <c r="L94" t="s">
        <v>951</v>
      </c>
      <c r="M94" t="s">
        <v>564</v>
      </c>
      <c r="N94" t="s">
        <v>573</v>
      </c>
      <c r="O94" t="s">
        <v>952</v>
      </c>
      <c r="P94" t="s">
        <v>833</v>
      </c>
      <c r="Q94" t="s">
        <v>704</v>
      </c>
      <c r="R94" t="s">
        <v>704</v>
      </c>
      <c r="S94" t="s">
        <v>705</v>
      </c>
      <c r="T94" t="s">
        <v>956</v>
      </c>
      <c r="U94" t="s">
        <v>957</v>
      </c>
      <c r="V94" t="s">
        <v>958</v>
      </c>
      <c r="W94" t="s">
        <v>837</v>
      </c>
      <c r="X94" t="s">
        <v>564</v>
      </c>
      <c r="Y94" t="s">
        <v>574</v>
      </c>
      <c r="Z94" t="s">
        <v>574</v>
      </c>
      <c r="AA94" t="s">
        <v>565</v>
      </c>
      <c r="AB94" t="s">
        <v>959</v>
      </c>
      <c r="AC94" t="s">
        <v>588</v>
      </c>
      <c r="AD94" t="s">
        <v>695</v>
      </c>
      <c r="AE94" t="s">
        <v>618</v>
      </c>
      <c r="AF94" t="str">
        <f>IF(AND(HOUR(O94)&gt;=1,HOUR(O94)&lt;=13),VLOOKUP(B94,Programacion!$A$8:$S$1048576,16,FALSE),VLOOKUP(B94,Programacion!$A$8:$S$1048576,18,FALSE))</f>
        <v xml:space="preserve">   964</v>
      </c>
      <c r="AG94" t="str">
        <f>IF(AND(HOUR(O94)&gt;=1,HOUR(O94)&lt;=13),VLOOKUP(B94,Programacion!$A$8:$S$1048576,17,FALSE),VLOOKUP(B94,Programacion!$A$8:$S$1048576,19,FALSE))</f>
        <v>GB01</v>
      </c>
    </row>
    <row r="95" spans="1:33" x14ac:dyDescent="0.25">
      <c r="A95" s="33" t="s">
        <v>947</v>
      </c>
      <c r="B95" t="s">
        <v>481</v>
      </c>
      <c r="C95" t="s">
        <v>948</v>
      </c>
      <c r="D95" t="s">
        <v>557</v>
      </c>
      <c r="E95" t="s">
        <v>558</v>
      </c>
      <c r="F95" t="s">
        <v>949</v>
      </c>
      <c r="G95" t="s">
        <v>560</v>
      </c>
      <c r="H95" t="s">
        <v>561</v>
      </c>
      <c r="I95" t="s">
        <v>950</v>
      </c>
      <c r="L95" t="s">
        <v>951</v>
      </c>
      <c r="M95" t="s">
        <v>564</v>
      </c>
      <c r="N95" t="s">
        <v>573</v>
      </c>
      <c r="O95" t="s">
        <v>952</v>
      </c>
      <c r="P95" t="s">
        <v>833</v>
      </c>
      <c r="Q95" t="s">
        <v>704</v>
      </c>
      <c r="R95" t="s">
        <v>704</v>
      </c>
      <c r="S95" t="s">
        <v>705</v>
      </c>
      <c r="T95" t="s">
        <v>956</v>
      </c>
      <c r="U95" t="s">
        <v>957</v>
      </c>
      <c r="V95" t="s">
        <v>958</v>
      </c>
      <c r="W95" t="s">
        <v>837</v>
      </c>
      <c r="X95" t="s">
        <v>564</v>
      </c>
      <c r="Y95" t="s">
        <v>574</v>
      </c>
      <c r="Z95" t="s">
        <v>574</v>
      </c>
      <c r="AA95" t="s">
        <v>565</v>
      </c>
      <c r="AB95" t="s">
        <v>959</v>
      </c>
      <c r="AC95" t="s">
        <v>596</v>
      </c>
      <c r="AD95" t="s">
        <v>695</v>
      </c>
      <c r="AE95" t="s">
        <v>696</v>
      </c>
      <c r="AF95" t="str">
        <f>IF(AND(HOUR(O95)&gt;=1,HOUR(O95)&lt;=13),VLOOKUP(B95,Programacion!$A$8:$S$1048576,16,FALSE),VLOOKUP(B95,Programacion!$A$8:$S$1048576,18,FALSE))</f>
        <v xml:space="preserve">   964</v>
      </c>
      <c r="AG95" t="str">
        <f>IF(AND(HOUR(O95)&gt;=1,HOUR(O95)&lt;=13),VLOOKUP(B95,Programacion!$A$8:$S$1048576,17,FALSE),VLOOKUP(B95,Programacion!$A$8:$S$1048576,19,FALSE))</f>
        <v>GB01</v>
      </c>
    </row>
    <row r="96" spans="1:33" x14ac:dyDescent="0.25">
      <c r="A96" s="33" t="s">
        <v>947</v>
      </c>
      <c r="B96" t="s">
        <v>481</v>
      </c>
      <c r="C96" t="s">
        <v>948</v>
      </c>
      <c r="D96" t="s">
        <v>557</v>
      </c>
      <c r="E96" t="s">
        <v>558</v>
      </c>
      <c r="F96" t="s">
        <v>949</v>
      </c>
      <c r="G96" t="s">
        <v>560</v>
      </c>
      <c r="H96" t="s">
        <v>561</v>
      </c>
      <c r="I96" t="s">
        <v>950</v>
      </c>
      <c r="L96" t="s">
        <v>951</v>
      </c>
      <c r="M96" t="s">
        <v>564</v>
      </c>
      <c r="N96" t="s">
        <v>573</v>
      </c>
      <c r="O96" t="s">
        <v>952</v>
      </c>
      <c r="P96" t="s">
        <v>833</v>
      </c>
      <c r="Q96" t="s">
        <v>704</v>
      </c>
      <c r="R96" t="s">
        <v>704</v>
      </c>
      <c r="S96" t="s">
        <v>705</v>
      </c>
      <c r="T96" t="s">
        <v>956</v>
      </c>
      <c r="U96" t="s">
        <v>957</v>
      </c>
      <c r="V96" t="s">
        <v>958</v>
      </c>
      <c r="W96" t="s">
        <v>837</v>
      </c>
      <c r="X96" t="s">
        <v>564</v>
      </c>
      <c r="Y96" t="s">
        <v>574</v>
      </c>
      <c r="Z96" t="s">
        <v>574</v>
      </c>
      <c r="AA96" t="s">
        <v>565</v>
      </c>
      <c r="AB96" t="s">
        <v>959</v>
      </c>
      <c r="AC96" t="s">
        <v>598</v>
      </c>
      <c r="AD96" t="s">
        <v>589</v>
      </c>
      <c r="AE96" t="s">
        <v>960</v>
      </c>
      <c r="AF96" t="str">
        <f>IF(AND(HOUR(O96)&gt;=1,HOUR(O96)&lt;=13),VLOOKUP(B96,Programacion!$A$8:$S$1048576,16,FALSE),VLOOKUP(B96,Programacion!$A$8:$S$1048576,18,FALSE))</f>
        <v xml:space="preserve">   964</v>
      </c>
      <c r="AG96" t="str">
        <f>IF(AND(HOUR(O96)&gt;=1,HOUR(O96)&lt;=13),VLOOKUP(B96,Programacion!$A$8:$S$1048576,17,FALSE),VLOOKUP(B96,Programacion!$A$8:$S$1048576,19,FALSE))</f>
        <v>GB01</v>
      </c>
    </row>
    <row r="97" spans="1:33" x14ac:dyDescent="0.25">
      <c r="A97" s="33" t="s">
        <v>198</v>
      </c>
      <c r="B97" t="s">
        <v>514</v>
      </c>
      <c r="C97" t="s">
        <v>961</v>
      </c>
      <c r="D97" t="s">
        <v>557</v>
      </c>
      <c r="E97" t="s">
        <v>558</v>
      </c>
      <c r="F97" t="s">
        <v>962</v>
      </c>
      <c r="G97" t="s">
        <v>560</v>
      </c>
      <c r="H97" t="s">
        <v>561</v>
      </c>
      <c r="I97" t="s">
        <v>963</v>
      </c>
      <c r="L97" t="s">
        <v>563</v>
      </c>
      <c r="M97" t="s">
        <v>564</v>
      </c>
      <c r="N97" t="s">
        <v>573</v>
      </c>
      <c r="O97" t="s">
        <v>627</v>
      </c>
      <c r="P97" t="s">
        <v>582</v>
      </c>
      <c r="Q97" t="s">
        <v>704</v>
      </c>
      <c r="R97" t="s">
        <v>704</v>
      </c>
      <c r="S97" t="s">
        <v>725</v>
      </c>
      <c r="T97" t="s">
        <v>964</v>
      </c>
      <c r="U97" t="s">
        <v>911</v>
      </c>
      <c r="V97" t="s">
        <v>965</v>
      </c>
      <c r="W97" t="s">
        <v>594</v>
      </c>
      <c r="X97" t="s">
        <v>564</v>
      </c>
      <c r="Y97" t="s">
        <v>574</v>
      </c>
      <c r="Z97" t="s">
        <v>574</v>
      </c>
      <c r="AA97" t="s">
        <v>565</v>
      </c>
      <c r="AB97" t="s">
        <v>913</v>
      </c>
      <c r="AC97" t="s">
        <v>588</v>
      </c>
      <c r="AD97" t="s">
        <v>589</v>
      </c>
      <c r="AE97" t="s">
        <v>622</v>
      </c>
      <c r="AF97" t="str">
        <f>IF(AND(HOUR(O97)&gt;=1,HOUR(O97)&lt;=13),VLOOKUP(B97,Programacion!$A$8:$S$1048576,16,FALSE),VLOOKUP(B97,Programacion!$A$8:$S$1048576,18,FALSE))</f>
        <v xml:space="preserve">  1189</v>
      </c>
      <c r="AG97" t="str">
        <f>IF(AND(HOUR(O97)&gt;=1,HOUR(O97)&lt;=13),VLOOKUP(B97,Programacion!$A$8:$S$1048576,17,FALSE),VLOOKUP(B97,Programacion!$A$8:$S$1048576,19,FALSE))</f>
        <v>GB01</v>
      </c>
    </row>
    <row r="98" spans="1:33" x14ac:dyDescent="0.25">
      <c r="A98" s="33" t="s">
        <v>198</v>
      </c>
      <c r="B98" t="s">
        <v>514</v>
      </c>
      <c r="C98" t="s">
        <v>961</v>
      </c>
      <c r="D98" t="s">
        <v>557</v>
      </c>
      <c r="E98" t="s">
        <v>558</v>
      </c>
      <c r="F98" t="s">
        <v>962</v>
      </c>
      <c r="G98" t="s">
        <v>560</v>
      </c>
      <c r="H98" t="s">
        <v>561</v>
      </c>
      <c r="I98" t="s">
        <v>963</v>
      </c>
      <c r="L98" t="s">
        <v>563</v>
      </c>
      <c r="M98" t="s">
        <v>564</v>
      </c>
      <c r="N98" t="s">
        <v>573</v>
      </c>
      <c r="O98" t="s">
        <v>627</v>
      </c>
      <c r="P98" t="s">
        <v>582</v>
      </c>
      <c r="Q98" t="s">
        <v>704</v>
      </c>
      <c r="R98" t="s">
        <v>704</v>
      </c>
      <c r="S98" t="s">
        <v>725</v>
      </c>
      <c r="T98" t="s">
        <v>964</v>
      </c>
      <c r="U98" t="s">
        <v>911</v>
      </c>
      <c r="V98" t="s">
        <v>965</v>
      </c>
      <c r="W98" t="s">
        <v>594</v>
      </c>
      <c r="X98" t="s">
        <v>564</v>
      </c>
      <c r="Y98" t="s">
        <v>574</v>
      </c>
      <c r="Z98" t="s">
        <v>574</v>
      </c>
      <c r="AA98" t="s">
        <v>565</v>
      </c>
      <c r="AB98" t="s">
        <v>913</v>
      </c>
      <c r="AC98" t="s">
        <v>576</v>
      </c>
      <c r="AD98" t="s">
        <v>599</v>
      </c>
      <c r="AE98" t="s">
        <v>647</v>
      </c>
      <c r="AF98" t="str">
        <f>IF(AND(HOUR(O98)&gt;=1,HOUR(O98)&lt;=13),VLOOKUP(B98,Programacion!$A$8:$S$1048576,16,FALSE),VLOOKUP(B98,Programacion!$A$8:$S$1048576,18,FALSE))</f>
        <v xml:space="preserve">  1189</v>
      </c>
      <c r="AG98" t="str">
        <f>IF(AND(HOUR(O98)&gt;=1,HOUR(O98)&lt;=13),VLOOKUP(B98,Programacion!$A$8:$S$1048576,17,FALSE),VLOOKUP(B98,Programacion!$A$8:$S$1048576,19,FALSE))</f>
        <v>GB01</v>
      </c>
    </row>
    <row r="99" spans="1:33" x14ac:dyDescent="0.25">
      <c r="A99" s="33" t="s">
        <v>198</v>
      </c>
      <c r="B99" t="s">
        <v>514</v>
      </c>
      <c r="C99" t="s">
        <v>961</v>
      </c>
      <c r="D99" t="s">
        <v>557</v>
      </c>
      <c r="E99" t="s">
        <v>558</v>
      </c>
      <c r="F99" t="s">
        <v>962</v>
      </c>
      <c r="G99" t="s">
        <v>560</v>
      </c>
      <c r="H99" t="s">
        <v>561</v>
      </c>
      <c r="I99" t="s">
        <v>963</v>
      </c>
      <c r="L99" t="s">
        <v>563</v>
      </c>
      <c r="M99" t="s">
        <v>564</v>
      </c>
      <c r="N99" t="s">
        <v>573</v>
      </c>
      <c r="O99" t="s">
        <v>627</v>
      </c>
      <c r="P99" t="s">
        <v>582</v>
      </c>
      <c r="Q99" t="s">
        <v>704</v>
      </c>
      <c r="R99" t="s">
        <v>704</v>
      </c>
      <c r="S99" t="s">
        <v>725</v>
      </c>
      <c r="T99" t="s">
        <v>964</v>
      </c>
      <c r="U99" t="s">
        <v>911</v>
      </c>
      <c r="V99" t="s">
        <v>965</v>
      </c>
      <c r="W99" t="s">
        <v>594</v>
      </c>
      <c r="X99" t="s">
        <v>564</v>
      </c>
      <c r="Y99" t="s">
        <v>574</v>
      </c>
      <c r="Z99" t="s">
        <v>574</v>
      </c>
      <c r="AA99" t="s">
        <v>565</v>
      </c>
      <c r="AB99" t="s">
        <v>913</v>
      </c>
      <c r="AC99" t="s">
        <v>598</v>
      </c>
      <c r="AD99" t="s">
        <v>798</v>
      </c>
      <c r="AE99" t="s">
        <v>618</v>
      </c>
      <c r="AF99" t="str">
        <f>IF(AND(HOUR(O99)&gt;=1,HOUR(O99)&lt;=13),VLOOKUP(B99,Programacion!$A$8:$S$1048576,16,FALSE),VLOOKUP(B99,Programacion!$A$8:$S$1048576,18,FALSE))</f>
        <v xml:space="preserve">  1189</v>
      </c>
      <c r="AG99" t="str">
        <f>IF(AND(HOUR(O99)&gt;=1,HOUR(O99)&lt;=13),VLOOKUP(B99,Programacion!$A$8:$S$1048576,17,FALSE),VLOOKUP(B99,Programacion!$A$8:$S$1048576,19,FALSE))</f>
        <v>GB01</v>
      </c>
    </row>
    <row r="100" spans="1:33" x14ac:dyDescent="0.25">
      <c r="A100" s="33" t="s">
        <v>198</v>
      </c>
      <c r="B100" t="s">
        <v>514</v>
      </c>
      <c r="C100" t="s">
        <v>961</v>
      </c>
      <c r="D100" t="s">
        <v>557</v>
      </c>
      <c r="E100" t="s">
        <v>558</v>
      </c>
      <c r="F100" t="s">
        <v>962</v>
      </c>
      <c r="G100" t="s">
        <v>560</v>
      </c>
      <c r="H100" t="s">
        <v>561</v>
      </c>
      <c r="I100" t="s">
        <v>963</v>
      </c>
      <c r="L100" t="s">
        <v>563</v>
      </c>
      <c r="M100" t="s">
        <v>564</v>
      </c>
      <c r="N100" t="s">
        <v>573</v>
      </c>
      <c r="O100" t="s">
        <v>627</v>
      </c>
      <c r="P100" t="s">
        <v>582</v>
      </c>
      <c r="Q100" t="s">
        <v>704</v>
      </c>
      <c r="R100" t="s">
        <v>704</v>
      </c>
      <c r="S100" t="s">
        <v>725</v>
      </c>
      <c r="T100" t="s">
        <v>964</v>
      </c>
      <c r="U100" t="s">
        <v>911</v>
      </c>
      <c r="V100" t="s">
        <v>965</v>
      </c>
      <c r="W100" t="s">
        <v>594</v>
      </c>
      <c r="X100" t="s">
        <v>564</v>
      </c>
      <c r="Y100" t="s">
        <v>574</v>
      </c>
      <c r="Z100" t="s">
        <v>574</v>
      </c>
      <c r="AA100" t="s">
        <v>565</v>
      </c>
      <c r="AB100" t="s">
        <v>913</v>
      </c>
      <c r="AC100" t="s">
        <v>596</v>
      </c>
      <c r="AD100" t="s">
        <v>656</v>
      </c>
      <c r="AE100" t="s">
        <v>966</v>
      </c>
      <c r="AF100" t="str">
        <f>IF(AND(HOUR(O100)&gt;=1,HOUR(O100)&lt;=13),VLOOKUP(B100,Programacion!$A$8:$S$1048576,16,FALSE),VLOOKUP(B100,Programacion!$A$8:$S$1048576,18,FALSE))</f>
        <v xml:space="preserve">  1189</v>
      </c>
      <c r="AG100" t="str">
        <f>IF(AND(HOUR(O100)&gt;=1,HOUR(O100)&lt;=13),VLOOKUP(B100,Programacion!$A$8:$S$1048576,17,FALSE),VLOOKUP(B100,Programacion!$A$8:$S$1048576,19,FALSE))</f>
        <v>GB01</v>
      </c>
    </row>
    <row r="101" spans="1:33" x14ac:dyDescent="0.25">
      <c r="A101" s="33" t="s">
        <v>198</v>
      </c>
      <c r="B101" t="s">
        <v>514</v>
      </c>
      <c r="C101" t="s">
        <v>961</v>
      </c>
      <c r="D101" t="s">
        <v>557</v>
      </c>
      <c r="E101" t="s">
        <v>558</v>
      </c>
      <c r="F101" t="s">
        <v>967</v>
      </c>
      <c r="G101" t="s">
        <v>560</v>
      </c>
      <c r="H101" t="s">
        <v>561</v>
      </c>
      <c r="I101" t="s">
        <v>968</v>
      </c>
      <c r="L101" t="s">
        <v>581</v>
      </c>
      <c r="M101" t="s">
        <v>564</v>
      </c>
      <c r="N101" t="s">
        <v>573</v>
      </c>
      <c r="O101" t="s">
        <v>969</v>
      </c>
      <c r="P101" t="s">
        <v>738</v>
      </c>
      <c r="Q101" t="s">
        <v>704</v>
      </c>
      <c r="R101" t="s">
        <v>704</v>
      </c>
      <c r="S101" t="s">
        <v>725</v>
      </c>
      <c r="T101" t="s">
        <v>739</v>
      </c>
      <c r="U101" t="s">
        <v>970</v>
      </c>
      <c r="V101" t="s">
        <v>971</v>
      </c>
      <c r="W101" t="s">
        <v>564</v>
      </c>
      <c r="X101" t="s">
        <v>564</v>
      </c>
      <c r="Y101" t="s">
        <v>574</v>
      </c>
      <c r="Z101" t="s">
        <v>574</v>
      </c>
      <c r="AA101" t="s">
        <v>565</v>
      </c>
      <c r="AB101" t="s">
        <v>972</v>
      </c>
      <c r="AC101" t="s">
        <v>588</v>
      </c>
      <c r="AD101" t="s">
        <v>599</v>
      </c>
      <c r="AE101" t="s">
        <v>600</v>
      </c>
      <c r="AF101" t="str">
        <f>IF(AND(HOUR(O101)&gt;=1,HOUR(O101)&lt;=13),VLOOKUP(B101,Programacion!$A$8:$S$1048576,16,FALSE),VLOOKUP(B101,Programacion!$A$8:$S$1048576,18,FALSE))</f>
        <v xml:space="preserve">  1189</v>
      </c>
      <c r="AG101" t="str">
        <f>IF(AND(HOUR(O101)&gt;=1,HOUR(O101)&lt;=13),VLOOKUP(B101,Programacion!$A$8:$S$1048576,17,FALSE),VLOOKUP(B101,Programacion!$A$8:$S$1048576,19,FALSE))</f>
        <v>GB01</v>
      </c>
    </row>
    <row r="102" spans="1:33" x14ac:dyDescent="0.25">
      <c r="A102" s="33" t="s">
        <v>198</v>
      </c>
      <c r="B102" t="s">
        <v>514</v>
      </c>
      <c r="C102" t="s">
        <v>961</v>
      </c>
      <c r="D102" t="s">
        <v>557</v>
      </c>
      <c r="E102" t="s">
        <v>558</v>
      </c>
      <c r="F102" t="s">
        <v>967</v>
      </c>
      <c r="G102" t="s">
        <v>560</v>
      </c>
      <c r="H102" t="s">
        <v>561</v>
      </c>
      <c r="I102" t="s">
        <v>968</v>
      </c>
      <c r="L102" t="s">
        <v>581</v>
      </c>
      <c r="M102" t="s">
        <v>564</v>
      </c>
      <c r="N102" t="s">
        <v>573</v>
      </c>
      <c r="O102" t="s">
        <v>969</v>
      </c>
      <c r="P102" t="s">
        <v>738</v>
      </c>
      <c r="Q102" t="s">
        <v>704</v>
      </c>
      <c r="R102" t="s">
        <v>704</v>
      </c>
      <c r="S102" t="s">
        <v>725</v>
      </c>
      <c r="T102" t="s">
        <v>739</v>
      </c>
      <c r="U102" t="s">
        <v>970</v>
      </c>
      <c r="V102" t="s">
        <v>971</v>
      </c>
      <c r="W102" t="s">
        <v>564</v>
      </c>
      <c r="X102" t="s">
        <v>564</v>
      </c>
      <c r="Y102" t="s">
        <v>574</v>
      </c>
      <c r="Z102" t="s">
        <v>574</v>
      </c>
      <c r="AA102" t="s">
        <v>565</v>
      </c>
      <c r="AB102" t="s">
        <v>972</v>
      </c>
      <c r="AC102" t="s">
        <v>596</v>
      </c>
      <c r="AD102" t="s">
        <v>742</v>
      </c>
      <c r="AE102" t="s">
        <v>663</v>
      </c>
      <c r="AF102" t="str">
        <f>IF(AND(HOUR(O102)&gt;=1,HOUR(O102)&lt;=13),VLOOKUP(B102,Programacion!$A$8:$S$1048576,16,FALSE),VLOOKUP(B102,Programacion!$A$8:$S$1048576,18,FALSE))</f>
        <v xml:space="preserve">  1189</v>
      </c>
      <c r="AG102" t="str">
        <f>IF(AND(HOUR(O102)&gt;=1,HOUR(O102)&lt;=13),VLOOKUP(B102,Programacion!$A$8:$S$1048576,17,FALSE),VLOOKUP(B102,Programacion!$A$8:$S$1048576,19,FALSE))</f>
        <v>GB01</v>
      </c>
    </row>
    <row r="103" spans="1:33" x14ac:dyDescent="0.25">
      <c r="A103" s="33" t="s">
        <v>198</v>
      </c>
      <c r="B103" t="s">
        <v>514</v>
      </c>
      <c r="C103" t="s">
        <v>961</v>
      </c>
      <c r="D103" t="s">
        <v>557</v>
      </c>
      <c r="E103" t="s">
        <v>558</v>
      </c>
      <c r="F103" t="s">
        <v>967</v>
      </c>
      <c r="G103" t="s">
        <v>560</v>
      </c>
      <c r="H103" t="s">
        <v>561</v>
      </c>
      <c r="I103" t="s">
        <v>968</v>
      </c>
      <c r="L103" t="s">
        <v>581</v>
      </c>
      <c r="M103" t="s">
        <v>564</v>
      </c>
      <c r="N103" t="s">
        <v>573</v>
      </c>
      <c r="O103" t="s">
        <v>969</v>
      </c>
      <c r="P103" t="s">
        <v>738</v>
      </c>
      <c r="Q103" t="s">
        <v>704</v>
      </c>
      <c r="R103" t="s">
        <v>704</v>
      </c>
      <c r="S103" t="s">
        <v>725</v>
      </c>
      <c r="T103" t="s">
        <v>739</v>
      </c>
      <c r="U103" t="s">
        <v>970</v>
      </c>
      <c r="V103" t="s">
        <v>971</v>
      </c>
      <c r="W103" t="s">
        <v>564</v>
      </c>
      <c r="X103" t="s">
        <v>564</v>
      </c>
      <c r="Y103" t="s">
        <v>574</v>
      </c>
      <c r="Z103" t="s">
        <v>574</v>
      </c>
      <c r="AA103" t="s">
        <v>565</v>
      </c>
      <c r="AB103" t="s">
        <v>972</v>
      </c>
      <c r="AC103" t="s">
        <v>598</v>
      </c>
      <c r="AD103" t="s">
        <v>695</v>
      </c>
      <c r="AE103" t="s">
        <v>696</v>
      </c>
      <c r="AF103" t="str">
        <f>IF(AND(HOUR(O103)&gt;=1,HOUR(O103)&lt;=13),VLOOKUP(B103,Programacion!$A$8:$S$1048576,16,FALSE),VLOOKUP(B103,Programacion!$A$8:$S$1048576,18,FALSE))</f>
        <v xml:space="preserve">  1189</v>
      </c>
      <c r="AG103" t="str">
        <f>IF(AND(HOUR(O103)&gt;=1,HOUR(O103)&lt;=13),VLOOKUP(B103,Programacion!$A$8:$S$1048576,17,FALSE),VLOOKUP(B103,Programacion!$A$8:$S$1048576,19,FALSE))</f>
        <v>GB01</v>
      </c>
    </row>
    <row r="104" spans="1:33" x14ac:dyDescent="0.25">
      <c r="A104" s="33" t="s">
        <v>198</v>
      </c>
      <c r="B104" t="s">
        <v>514</v>
      </c>
      <c r="C104" t="s">
        <v>961</v>
      </c>
      <c r="D104" t="s">
        <v>557</v>
      </c>
      <c r="E104" t="s">
        <v>558</v>
      </c>
      <c r="F104" t="s">
        <v>967</v>
      </c>
      <c r="G104" t="s">
        <v>560</v>
      </c>
      <c r="H104" t="s">
        <v>561</v>
      </c>
      <c r="I104" t="s">
        <v>968</v>
      </c>
      <c r="L104" t="s">
        <v>581</v>
      </c>
      <c r="M104" t="s">
        <v>564</v>
      </c>
      <c r="N104" t="s">
        <v>573</v>
      </c>
      <c r="O104" t="s">
        <v>969</v>
      </c>
      <c r="P104" t="s">
        <v>738</v>
      </c>
      <c r="Q104" t="s">
        <v>704</v>
      </c>
      <c r="R104" t="s">
        <v>704</v>
      </c>
      <c r="S104" t="s">
        <v>725</v>
      </c>
      <c r="T104" t="s">
        <v>743</v>
      </c>
      <c r="U104" t="s">
        <v>592</v>
      </c>
      <c r="V104" t="s">
        <v>973</v>
      </c>
      <c r="W104" t="s">
        <v>709</v>
      </c>
      <c r="X104" t="s">
        <v>564</v>
      </c>
      <c r="Y104" t="s">
        <v>574</v>
      </c>
      <c r="Z104" t="s">
        <v>574</v>
      </c>
      <c r="AA104" t="s">
        <v>565</v>
      </c>
      <c r="AB104" t="s">
        <v>595</v>
      </c>
      <c r="AC104" t="s">
        <v>588</v>
      </c>
      <c r="AD104" t="s">
        <v>599</v>
      </c>
      <c r="AE104" t="s">
        <v>651</v>
      </c>
      <c r="AF104" t="str">
        <f>IF(AND(HOUR(O104)&gt;=1,HOUR(O104)&lt;=13),VLOOKUP(B104,Programacion!$A$8:$S$1048576,16,FALSE),VLOOKUP(B104,Programacion!$A$8:$S$1048576,18,FALSE))</f>
        <v xml:space="preserve">  1189</v>
      </c>
      <c r="AG104" t="str">
        <f>IF(AND(HOUR(O104)&gt;=1,HOUR(O104)&lt;=13),VLOOKUP(B104,Programacion!$A$8:$S$1048576,17,FALSE),VLOOKUP(B104,Programacion!$A$8:$S$1048576,19,FALSE))</f>
        <v>GB01</v>
      </c>
    </row>
    <row r="105" spans="1:33" x14ac:dyDescent="0.25">
      <c r="A105" s="33" t="s">
        <v>198</v>
      </c>
      <c r="B105" t="s">
        <v>514</v>
      </c>
      <c r="C105" t="s">
        <v>961</v>
      </c>
      <c r="D105" t="s">
        <v>557</v>
      </c>
      <c r="E105" t="s">
        <v>558</v>
      </c>
      <c r="F105" t="s">
        <v>967</v>
      </c>
      <c r="G105" t="s">
        <v>560</v>
      </c>
      <c r="H105" t="s">
        <v>561</v>
      </c>
      <c r="I105" t="s">
        <v>968</v>
      </c>
      <c r="L105" t="s">
        <v>581</v>
      </c>
      <c r="M105" t="s">
        <v>564</v>
      </c>
      <c r="N105" t="s">
        <v>573</v>
      </c>
      <c r="O105" t="s">
        <v>969</v>
      </c>
      <c r="P105" t="s">
        <v>738</v>
      </c>
      <c r="Q105" t="s">
        <v>704</v>
      </c>
      <c r="R105" t="s">
        <v>704</v>
      </c>
      <c r="S105" t="s">
        <v>725</v>
      </c>
      <c r="T105" t="s">
        <v>743</v>
      </c>
      <c r="U105" t="s">
        <v>592</v>
      </c>
      <c r="V105" t="s">
        <v>973</v>
      </c>
      <c r="W105" t="s">
        <v>709</v>
      </c>
      <c r="X105" t="s">
        <v>564</v>
      </c>
      <c r="Y105" t="s">
        <v>574</v>
      </c>
      <c r="Z105" t="s">
        <v>574</v>
      </c>
      <c r="AA105" t="s">
        <v>565</v>
      </c>
      <c r="AB105" t="s">
        <v>595</v>
      </c>
      <c r="AC105" t="s">
        <v>596</v>
      </c>
      <c r="AD105" t="s">
        <v>798</v>
      </c>
      <c r="AE105" t="s">
        <v>618</v>
      </c>
      <c r="AF105" t="str">
        <f>IF(AND(HOUR(O105)&gt;=1,HOUR(O105)&lt;=13),VLOOKUP(B105,Programacion!$A$8:$S$1048576,16,FALSE),VLOOKUP(B105,Programacion!$A$8:$S$1048576,18,FALSE))</f>
        <v xml:space="preserve">  1189</v>
      </c>
      <c r="AG105" t="str">
        <f>IF(AND(HOUR(O105)&gt;=1,HOUR(O105)&lt;=13),VLOOKUP(B105,Programacion!$A$8:$S$1048576,17,FALSE),VLOOKUP(B105,Programacion!$A$8:$S$1048576,19,FALSE))</f>
        <v>GB01</v>
      </c>
    </row>
    <row r="106" spans="1:33" x14ac:dyDescent="0.25">
      <c r="A106" s="33" t="s">
        <v>198</v>
      </c>
      <c r="B106" t="s">
        <v>514</v>
      </c>
      <c r="C106" t="s">
        <v>961</v>
      </c>
      <c r="D106" t="s">
        <v>557</v>
      </c>
      <c r="E106" t="s">
        <v>558</v>
      </c>
      <c r="F106" t="s">
        <v>967</v>
      </c>
      <c r="G106" t="s">
        <v>560</v>
      </c>
      <c r="H106" t="s">
        <v>561</v>
      </c>
      <c r="I106" t="s">
        <v>968</v>
      </c>
      <c r="L106" t="s">
        <v>581</v>
      </c>
      <c r="M106" t="s">
        <v>564</v>
      </c>
      <c r="N106" t="s">
        <v>573</v>
      </c>
      <c r="O106" t="s">
        <v>969</v>
      </c>
      <c r="P106" t="s">
        <v>738</v>
      </c>
      <c r="Q106" t="s">
        <v>704</v>
      </c>
      <c r="R106" t="s">
        <v>704</v>
      </c>
      <c r="S106" t="s">
        <v>725</v>
      </c>
      <c r="T106" t="s">
        <v>743</v>
      </c>
      <c r="U106" t="s">
        <v>592</v>
      </c>
      <c r="V106" t="s">
        <v>973</v>
      </c>
      <c r="W106" t="s">
        <v>709</v>
      </c>
      <c r="X106" t="s">
        <v>564</v>
      </c>
      <c r="Y106" t="s">
        <v>574</v>
      </c>
      <c r="Z106" t="s">
        <v>574</v>
      </c>
      <c r="AA106" t="s">
        <v>565</v>
      </c>
      <c r="AB106" t="s">
        <v>595</v>
      </c>
      <c r="AC106" t="s">
        <v>598</v>
      </c>
      <c r="AD106" t="s">
        <v>599</v>
      </c>
      <c r="AE106" t="s">
        <v>647</v>
      </c>
      <c r="AF106" t="str">
        <f>IF(AND(HOUR(O106)&gt;=1,HOUR(O106)&lt;=13),VLOOKUP(B106,Programacion!$A$8:$S$1048576,16,FALSE),VLOOKUP(B106,Programacion!$A$8:$S$1048576,18,FALSE))</f>
        <v xml:space="preserve">  1189</v>
      </c>
      <c r="AG106" t="str">
        <f>IF(AND(HOUR(O106)&gt;=1,HOUR(O106)&lt;=13),VLOOKUP(B106,Programacion!$A$8:$S$1048576,17,FALSE),VLOOKUP(B106,Programacion!$A$8:$S$1048576,19,FALSE))</f>
        <v>GB01</v>
      </c>
    </row>
    <row r="107" spans="1:33" x14ac:dyDescent="0.25">
      <c r="A107" s="33" t="s">
        <v>198</v>
      </c>
      <c r="B107" t="s">
        <v>514</v>
      </c>
      <c r="C107" t="s">
        <v>961</v>
      </c>
      <c r="D107" t="s">
        <v>557</v>
      </c>
      <c r="E107" t="s">
        <v>558</v>
      </c>
      <c r="F107" t="s">
        <v>974</v>
      </c>
      <c r="G107" t="s">
        <v>560</v>
      </c>
      <c r="H107" t="s">
        <v>561</v>
      </c>
      <c r="I107" t="s">
        <v>975</v>
      </c>
      <c r="L107" t="s">
        <v>603</v>
      </c>
      <c r="M107" t="s">
        <v>564</v>
      </c>
      <c r="N107" t="s">
        <v>565</v>
      </c>
      <c r="O107" t="s">
        <v>675</v>
      </c>
      <c r="P107" t="s">
        <v>833</v>
      </c>
      <c r="Q107" t="s">
        <v>704</v>
      </c>
      <c r="R107" t="s">
        <v>704</v>
      </c>
      <c r="S107" t="s">
        <v>725</v>
      </c>
      <c r="T107" t="s">
        <v>956</v>
      </c>
      <c r="U107" t="s">
        <v>976</v>
      </c>
      <c r="V107" t="s">
        <v>958</v>
      </c>
      <c r="W107" t="s">
        <v>837</v>
      </c>
      <c r="X107" t="s">
        <v>564</v>
      </c>
      <c r="Y107" t="s">
        <v>574</v>
      </c>
      <c r="Z107" t="s">
        <v>574</v>
      </c>
      <c r="AA107" t="s">
        <v>565</v>
      </c>
      <c r="AB107" t="s">
        <v>977</v>
      </c>
      <c r="AC107" t="s">
        <v>576</v>
      </c>
      <c r="AD107" t="s">
        <v>704</v>
      </c>
      <c r="AE107" t="s">
        <v>978</v>
      </c>
      <c r="AF107" t="str">
        <f>IF(AND(HOUR(O107)&gt;=1,HOUR(O107)&lt;=13),VLOOKUP(B107,Programacion!$A$8:$S$1048576,16,FALSE),VLOOKUP(B107,Programacion!$A$8:$S$1048576,18,FALSE))</f>
        <v xml:space="preserve">  1274</v>
      </c>
      <c r="AG107" t="str">
        <f>IF(AND(HOUR(O107)&gt;=1,HOUR(O107)&lt;=13),VLOOKUP(B107,Programacion!$A$8:$S$1048576,17,FALSE),VLOOKUP(B107,Programacion!$A$8:$S$1048576,19,FALSE))</f>
        <v>GB01</v>
      </c>
    </row>
    <row r="108" spans="1:33" x14ac:dyDescent="0.25">
      <c r="A108" s="33" t="s">
        <v>979</v>
      </c>
      <c r="B108" t="s">
        <v>492</v>
      </c>
      <c r="C108" t="s">
        <v>980</v>
      </c>
      <c r="D108" t="s">
        <v>557</v>
      </c>
      <c r="E108" t="s">
        <v>558</v>
      </c>
      <c r="F108" t="s">
        <v>981</v>
      </c>
      <c r="G108" t="s">
        <v>560</v>
      </c>
      <c r="H108" t="s">
        <v>561</v>
      </c>
      <c r="I108" t="s">
        <v>982</v>
      </c>
      <c r="L108" t="s">
        <v>563</v>
      </c>
      <c r="M108" t="s">
        <v>564</v>
      </c>
      <c r="N108" t="s">
        <v>573</v>
      </c>
      <c r="O108" t="s">
        <v>627</v>
      </c>
      <c r="P108" t="s">
        <v>983</v>
      </c>
      <c r="Q108" t="s">
        <v>568</v>
      </c>
      <c r="R108" t="s">
        <v>568</v>
      </c>
      <c r="S108" t="s">
        <v>569</v>
      </c>
      <c r="T108" t="s">
        <v>984</v>
      </c>
      <c r="U108" t="s">
        <v>985</v>
      </c>
      <c r="V108" t="s">
        <v>986</v>
      </c>
      <c r="W108" t="s">
        <v>564</v>
      </c>
      <c r="X108" t="s">
        <v>564</v>
      </c>
      <c r="Y108" t="s">
        <v>574</v>
      </c>
      <c r="Z108" t="s">
        <v>574</v>
      </c>
      <c r="AA108" t="s">
        <v>565</v>
      </c>
      <c r="AB108" t="s">
        <v>702</v>
      </c>
      <c r="AC108" t="s">
        <v>596</v>
      </c>
      <c r="AD108" t="s">
        <v>599</v>
      </c>
      <c r="AE108" t="s">
        <v>600</v>
      </c>
      <c r="AF108" t="str">
        <f>IF(AND(HOUR(O108)&gt;=1,HOUR(O108)&lt;=13),VLOOKUP(B108,Programacion!$A$8:$S$1048576,16,FALSE),VLOOKUP(B108,Programacion!$A$8:$S$1048576,18,FALSE))</f>
        <v xml:space="preserve">  1155</v>
      </c>
      <c r="AG108" t="str">
        <f>IF(AND(HOUR(O108)&gt;=1,HOUR(O108)&lt;=13),VLOOKUP(B108,Programacion!$A$8:$S$1048576,17,FALSE),VLOOKUP(B108,Programacion!$A$8:$S$1048576,19,FALSE))</f>
        <v>GB01</v>
      </c>
    </row>
    <row r="109" spans="1:33" x14ac:dyDescent="0.25">
      <c r="A109" s="33" t="s">
        <v>979</v>
      </c>
      <c r="B109" t="s">
        <v>492</v>
      </c>
      <c r="C109" t="s">
        <v>980</v>
      </c>
      <c r="D109" t="s">
        <v>557</v>
      </c>
      <c r="E109" t="s">
        <v>558</v>
      </c>
      <c r="F109" t="s">
        <v>981</v>
      </c>
      <c r="G109" t="s">
        <v>560</v>
      </c>
      <c r="H109" t="s">
        <v>561</v>
      </c>
      <c r="I109" t="s">
        <v>982</v>
      </c>
      <c r="L109" t="s">
        <v>563</v>
      </c>
      <c r="M109" t="s">
        <v>564</v>
      </c>
      <c r="N109" t="s">
        <v>573</v>
      </c>
      <c r="O109" t="s">
        <v>627</v>
      </c>
      <c r="P109" t="s">
        <v>983</v>
      </c>
      <c r="Q109" t="s">
        <v>568</v>
      </c>
      <c r="R109" t="s">
        <v>568</v>
      </c>
      <c r="S109" t="s">
        <v>569</v>
      </c>
      <c r="T109" t="s">
        <v>984</v>
      </c>
      <c r="U109" t="s">
        <v>985</v>
      </c>
      <c r="V109" t="s">
        <v>986</v>
      </c>
      <c r="W109" t="s">
        <v>564</v>
      </c>
      <c r="X109" t="s">
        <v>564</v>
      </c>
      <c r="Y109" t="s">
        <v>574</v>
      </c>
      <c r="Z109" t="s">
        <v>574</v>
      </c>
      <c r="AA109" t="s">
        <v>565</v>
      </c>
      <c r="AB109" t="s">
        <v>702</v>
      </c>
      <c r="AC109" t="s">
        <v>598</v>
      </c>
      <c r="AD109" t="s">
        <v>599</v>
      </c>
      <c r="AE109" t="s">
        <v>651</v>
      </c>
      <c r="AF109" t="str">
        <f>IF(AND(HOUR(O109)&gt;=1,HOUR(O109)&lt;=13),VLOOKUP(B109,Programacion!$A$8:$S$1048576,16,FALSE),VLOOKUP(B109,Programacion!$A$8:$S$1048576,18,FALSE))</f>
        <v xml:space="preserve">  1155</v>
      </c>
      <c r="AG109" t="str">
        <f>IF(AND(HOUR(O109)&gt;=1,HOUR(O109)&lt;=13),VLOOKUP(B109,Programacion!$A$8:$S$1048576,17,FALSE),VLOOKUP(B109,Programacion!$A$8:$S$1048576,19,FALSE))</f>
        <v>GB01</v>
      </c>
    </row>
    <row r="110" spans="1:33" x14ac:dyDescent="0.25">
      <c r="A110" s="33" t="s">
        <v>979</v>
      </c>
      <c r="B110" t="s">
        <v>492</v>
      </c>
      <c r="C110" t="s">
        <v>980</v>
      </c>
      <c r="D110" t="s">
        <v>557</v>
      </c>
      <c r="E110" t="s">
        <v>558</v>
      </c>
      <c r="F110" t="s">
        <v>981</v>
      </c>
      <c r="G110" t="s">
        <v>560</v>
      </c>
      <c r="H110" t="s">
        <v>561</v>
      </c>
      <c r="I110" t="s">
        <v>982</v>
      </c>
      <c r="L110" t="s">
        <v>563</v>
      </c>
      <c r="M110" t="s">
        <v>564</v>
      </c>
      <c r="N110" t="s">
        <v>573</v>
      </c>
      <c r="O110" t="s">
        <v>627</v>
      </c>
      <c r="P110" t="s">
        <v>983</v>
      </c>
      <c r="Q110" t="s">
        <v>568</v>
      </c>
      <c r="R110" t="s">
        <v>568</v>
      </c>
      <c r="S110" t="s">
        <v>569</v>
      </c>
      <c r="T110" t="s">
        <v>987</v>
      </c>
      <c r="U110" t="s">
        <v>988</v>
      </c>
      <c r="V110" t="s">
        <v>989</v>
      </c>
      <c r="W110" t="s">
        <v>564</v>
      </c>
      <c r="X110" t="s">
        <v>564</v>
      </c>
      <c r="Y110" t="s">
        <v>574</v>
      </c>
      <c r="Z110" t="s">
        <v>574</v>
      </c>
      <c r="AA110" t="s">
        <v>565</v>
      </c>
      <c r="AB110" t="s">
        <v>990</v>
      </c>
      <c r="AC110" t="s">
        <v>588</v>
      </c>
      <c r="AD110" t="s">
        <v>599</v>
      </c>
      <c r="AE110" t="s">
        <v>647</v>
      </c>
      <c r="AF110" t="str">
        <f>IF(AND(HOUR(O110)&gt;=1,HOUR(O110)&lt;=13),VLOOKUP(B110,Programacion!$A$8:$S$1048576,16,FALSE),VLOOKUP(B110,Programacion!$A$8:$S$1048576,18,FALSE))</f>
        <v xml:space="preserve">  1155</v>
      </c>
      <c r="AG110" t="str">
        <f>IF(AND(HOUR(O110)&gt;=1,HOUR(O110)&lt;=13),VLOOKUP(B110,Programacion!$A$8:$S$1048576,17,FALSE),VLOOKUP(B110,Programacion!$A$8:$S$1048576,19,FALSE))</f>
        <v>GB01</v>
      </c>
    </row>
    <row r="111" spans="1:33" x14ac:dyDescent="0.25">
      <c r="A111" s="33" t="s">
        <v>979</v>
      </c>
      <c r="B111" t="s">
        <v>492</v>
      </c>
      <c r="C111" t="s">
        <v>980</v>
      </c>
      <c r="D111" t="s">
        <v>557</v>
      </c>
      <c r="E111" t="s">
        <v>558</v>
      </c>
      <c r="F111" t="s">
        <v>981</v>
      </c>
      <c r="G111" t="s">
        <v>560</v>
      </c>
      <c r="H111" t="s">
        <v>561</v>
      </c>
      <c r="I111" t="s">
        <v>982</v>
      </c>
      <c r="L111" t="s">
        <v>563</v>
      </c>
      <c r="M111" t="s">
        <v>564</v>
      </c>
      <c r="N111" t="s">
        <v>573</v>
      </c>
      <c r="O111" t="s">
        <v>627</v>
      </c>
      <c r="P111" t="s">
        <v>983</v>
      </c>
      <c r="Q111" t="s">
        <v>568</v>
      </c>
      <c r="R111" t="s">
        <v>568</v>
      </c>
      <c r="S111" t="s">
        <v>569</v>
      </c>
      <c r="T111" t="s">
        <v>987</v>
      </c>
      <c r="U111" t="s">
        <v>988</v>
      </c>
      <c r="V111" t="s">
        <v>989</v>
      </c>
      <c r="W111" t="s">
        <v>564</v>
      </c>
      <c r="X111" t="s">
        <v>564</v>
      </c>
      <c r="Y111" t="s">
        <v>574</v>
      </c>
      <c r="Z111" t="s">
        <v>574</v>
      </c>
      <c r="AA111" t="s">
        <v>565</v>
      </c>
      <c r="AB111" t="s">
        <v>990</v>
      </c>
      <c r="AC111" t="s">
        <v>596</v>
      </c>
      <c r="AD111" t="s">
        <v>599</v>
      </c>
      <c r="AE111" t="s">
        <v>663</v>
      </c>
      <c r="AF111" t="str">
        <f>IF(AND(HOUR(O111)&gt;=1,HOUR(O111)&lt;=13),VLOOKUP(B111,Programacion!$A$8:$S$1048576,16,FALSE),VLOOKUP(B111,Programacion!$A$8:$S$1048576,18,FALSE))</f>
        <v xml:space="preserve">  1155</v>
      </c>
      <c r="AG111" t="str">
        <f>IF(AND(HOUR(O111)&gt;=1,HOUR(O111)&lt;=13),VLOOKUP(B111,Programacion!$A$8:$S$1048576,17,FALSE),VLOOKUP(B111,Programacion!$A$8:$S$1048576,19,FALSE))</f>
        <v>GB01</v>
      </c>
    </row>
    <row r="112" spans="1:33" x14ac:dyDescent="0.25">
      <c r="A112" s="33" t="s">
        <v>979</v>
      </c>
      <c r="B112" t="s">
        <v>492</v>
      </c>
      <c r="C112" t="s">
        <v>980</v>
      </c>
      <c r="D112" t="s">
        <v>557</v>
      </c>
      <c r="E112" t="s">
        <v>558</v>
      </c>
      <c r="F112" t="s">
        <v>981</v>
      </c>
      <c r="G112" t="s">
        <v>560</v>
      </c>
      <c r="H112" t="s">
        <v>561</v>
      </c>
      <c r="I112" t="s">
        <v>982</v>
      </c>
      <c r="L112" t="s">
        <v>563</v>
      </c>
      <c r="M112" t="s">
        <v>564</v>
      </c>
      <c r="N112" t="s">
        <v>573</v>
      </c>
      <c r="O112" t="s">
        <v>627</v>
      </c>
      <c r="P112" t="s">
        <v>983</v>
      </c>
      <c r="Q112" t="s">
        <v>568</v>
      </c>
      <c r="R112" t="s">
        <v>568</v>
      </c>
      <c r="S112" t="s">
        <v>569</v>
      </c>
      <c r="T112" t="s">
        <v>987</v>
      </c>
      <c r="U112" t="s">
        <v>988</v>
      </c>
      <c r="V112" t="s">
        <v>989</v>
      </c>
      <c r="W112" t="s">
        <v>564</v>
      </c>
      <c r="X112" t="s">
        <v>564</v>
      </c>
      <c r="Y112" t="s">
        <v>574</v>
      </c>
      <c r="Z112" t="s">
        <v>574</v>
      </c>
      <c r="AA112" t="s">
        <v>565</v>
      </c>
      <c r="AB112" t="s">
        <v>990</v>
      </c>
      <c r="AC112" t="s">
        <v>598</v>
      </c>
      <c r="AD112" t="s">
        <v>599</v>
      </c>
      <c r="AE112" t="s">
        <v>618</v>
      </c>
      <c r="AF112" t="str">
        <f>IF(AND(HOUR(O112)&gt;=1,HOUR(O112)&lt;=13),VLOOKUP(B112,Programacion!$A$8:$S$1048576,16,FALSE),VLOOKUP(B112,Programacion!$A$8:$S$1048576,18,FALSE))</f>
        <v xml:space="preserve">  1155</v>
      </c>
      <c r="AG112" t="str">
        <f>IF(AND(HOUR(O112)&gt;=1,HOUR(O112)&lt;=13),VLOOKUP(B112,Programacion!$A$8:$S$1048576,17,FALSE),VLOOKUP(B112,Programacion!$A$8:$S$1048576,19,FALSE))</f>
        <v>GB01</v>
      </c>
    </row>
    <row r="113" spans="1:33" x14ac:dyDescent="0.25">
      <c r="A113" s="33" t="s">
        <v>979</v>
      </c>
      <c r="B113" t="s">
        <v>492</v>
      </c>
      <c r="C113" t="s">
        <v>980</v>
      </c>
      <c r="D113" t="s">
        <v>557</v>
      </c>
      <c r="E113" t="s">
        <v>558</v>
      </c>
      <c r="F113" t="s">
        <v>991</v>
      </c>
      <c r="G113" t="s">
        <v>560</v>
      </c>
      <c r="H113" t="s">
        <v>561</v>
      </c>
      <c r="I113" t="s">
        <v>992</v>
      </c>
      <c r="L113" t="s">
        <v>913</v>
      </c>
      <c r="M113" t="s">
        <v>564</v>
      </c>
      <c r="N113" t="s">
        <v>573</v>
      </c>
      <c r="O113" t="s">
        <v>580</v>
      </c>
      <c r="P113" t="s">
        <v>642</v>
      </c>
      <c r="Q113" t="s">
        <v>568</v>
      </c>
      <c r="R113" t="s">
        <v>568</v>
      </c>
      <c r="S113" t="s">
        <v>569</v>
      </c>
      <c r="T113" t="s">
        <v>993</v>
      </c>
      <c r="U113" t="s">
        <v>994</v>
      </c>
      <c r="V113" t="s">
        <v>995</v>
      </c>
      <c r="W113" t="s">
        <v>586</v>
      </c>
      <c r="X113" t="s">
        <v>564</v>
      </c>
      <c r="Y113" t="s">
        <v>574</v>
      </c>
      <c r="Z113" t="s">
        <v>574</v>
      </c>
      <c r="AA113" t="s">
        <v>565</v>
      </c>
      <c r="AB113" t="s">
        <v>942</v>
      </c>
      <c r="AC113" t="s">
        <v>576</v>
      </c>
      <c r="AD113" t="s">
        <v>589</v>
      </c>
      <c r="AE113" t="s">
        <v>996</v>
      </c>
      <c r="AF113" t="str">
        <f>IF(AND(HOUR(O113)&gt;=1,HOUR(O113)&lt;=13),VLOOKUP(B113,Programacion!$A$8:$S$1048576,16,FALSE),VLOOKUP(B113,Programacion!$A$8:$S$1048576,18,FALSE))</f>
        <v xml:space="preserve">  1155</v>
      </c>
      <c r="AG113" t="str">
        <f>IF(AND(HOUR(O113)&gt;=1,HOUR(O113)&lt;=13),VLOOKUP(B113,Programacion!$A$8:$S$1048576,17,FALSE),VLOOKUP(B113,Programacion!$A$8:$S$1048576,19,FALSE))</f>
        <v>GB01</v>
      </c>
    </row>
    <row r="114" spans="1:33" x14ac:dyDescent="0.25">
      <c r="A114" s="33" t="s">
        <v>979</v>
      </c>
      <c r="B114" t="s">
        <v>492</v>
      </c>
      <c r="C114" t="s">
        <v>980</v>
      </c>
      <c r="D114" t="s">
        <v>557</v>
      </c>
      <c r="E114" t="s">
        <v>558</v>
      </c>
      <c r="F114" t="s">
        <v>991</v>
      </c>
      <c r="G114" t="s">
        <v>560</v>
      </c>
      <c r="H114" t="s">
        <v>561</v>
      </c>
      <c r="I114" t="s">
        <v>992</v>
      </c>
      <c r="L114" t="s">
        <v>913</v>
      </c>
      <c r="M114" t="s">
        <v>564</v>
      </c>
      <c r="N114" t="s">
        <v>573</v>
      </c>
      <c r="O114" t="s">
        <v>580</v>
      </c>
      <c r="P114" t="s">
        <v>642</v>
      </c>
      <c r="Q114" t="s">
        <v>568</v>
      </c>
      <c r="R114" t="s">
        <v>568</v>
      </c>
      <c r="S114" t="s">
        <v>569</v>
      </c>
      <c r="T114" t="s">
        <v>993</v>
      </c>
      <c r="U114" t="s">
        <v>994</v>
      </c>
      <c r="V114" t="s">
        <v>995</v>
      </c>
      <c r="W114" t="s">
        <v>586</v>
      </c>
      <c r="X114" t="s">
        <v>564</v>
      </c>
      <c r="Y114" t="s">
        <v>574</v>
      </c>
      <c r="Z114" t="s">
        <v>574</v>
      </c>
      <c r="AA114" t="s">
        <v>565</v>
      </c>
      <c r="AB114" t="s">
        <v>942</v>
      </c>
      <c r="AC114" t="s">
        <v>588</v>
      </c>
      <c r="AD114" t="s">
        <v>589</v>
      </c>
      <c r="AE114" t="s">
        <v>997</v>
      </c>
      <c r="AF114" t="str">
        <f>IF(AND(HOUR(O114)&gt;=1,HOUR(O114)&lt;=13),VLOOKUP(B114,Programacion!$A$8:$S$1048576,16,FALSE),VLOOKUP(B114,Programacion!$A$8:$S$1048576,18,FALSE))</f>
        <v xml:space="preserve">  1155</v>
      </c>
      <c r="AG114" t="str">
        <f>IF(AND(HOUR(O114)&gt;=1,HOUR(O114)&lt;=13),VLOOKUP(B114,Programacion!$A$8:$S$1048576,17,FALSE),VLOOKUP(B114,Programacion!$A$8:$S$1048576,19,FALSE))</f>
        <v>GB01</v>
      </c>
    </row>
    <row r="115" spans="1:33" x14ac:dyDescent="0.25">
      <c r="A115" s="33" t="s">
        <v>979</v>
      </c>
      <c r="B115" t="s">
        <v>492</v>
      </c>
      <c r="C115" t="s">
        <v>980</v>
      </c>
      <c r="D115" t="s">
        <v>557</v>
      </c>
      <c r="E115" t="s">
        <v>558</v>
      </c>
      <c r="F115" t="s">
        <v>991</v>
      </c>
      <c r="G115" t="s">
        <v>560</v>
      </c>
      <c r="H115" t="s">
        <v>561</v>
      </c>
      <c r="I115" t="s">
        <v>992</v>
      </c>
      <c r="L115" t="s">
        <v>913</v>
      </c>
      <c r="M115" t="s">
        <v>564</v>
      </c>
      <c r="N115" t="s">
        <v>573</v>
      </c>
      <c r="O115" t="s">
        <v>580</v>
      </c>
      <c r="P115" t="s">
        <v>642</v>
      </c>
      <c r="Q115" t="s">
        <v>568</v>
      </c>
      <c r="R115" t="s">
        <v>568</v>
      </c>
      <c r="S115" t="s">
        <v>569</v>
      </c>
      <c r="T115" t="s">
        <v>998</v>
      </c>
      <c r="U115" t="s">
        <v>999</v>
      </c>
      <c r="V115" t="s">
        <v>1000</v>
      </c>
      <c r="W115" t="s">
        <v>594</v>
      </c>
      <c r="X115" t="s">
        <v>564</v>
      </c>
      <c r="Y115" t="s">
        <v>574</v>
      </c>
      <c r="Z115" t="s">
        <v>574</v>
      </c>
      <c r="AA115" t="s">
        <v>565</v>
      </c>
      <c r="AB115" t="s">
        <v>1001</v>
      </c>
      <c r="AC115" t="s">
        <v>596</v>
      </c>
      <c r="AD115" t="s">
        <v>599</v>
      </c>
      <c r="AE115" t="s">
        <v>618</v>
      </c>
      <c r="AF115" t="str">
        <f>IF(AND(HOUR(O115)&gt;=1,HOUR(O115)&lt;=13),VLOOKUP(B115,Programacion!$A$8:$S$1048576,16,FALSE),VLOOKUP(B115,Programacion!$A$8:$S$1048576,18,FALSE))</f>
        <v xml:space="preserve">  1155</v>
      </c>
      <c r="AG115" t="str">
        <f>IF(AND(HOUR(O115)&gt;=1,HOUR(O115)&lt;=13),VLOOKUP(B115,Programacion!$A$8:$S$1048576,17,FALSE),VLOOKUP(B115,Programacion!$A$8:$S$1048576,19,FALSE))</f>
        <v>GB01</v>
      </c>
    </row>
    <row r="116" spans="1:33" x14ac:dyDescent="0.25">
      <c r="A116" s="33" t="s">
        <v>979</v>
      </c>
      <c r="B116" t="s">
        <v>492</v>
      </c>
      <c r="C116" t="s">
        <v>980</v>
      </c>
      <c r="D116" t="s">
        <v>557</v>
      </c>
      <c r="E116" t="s">
        <v>558</v>
      </c>
      <c r="F116" t="s">
        <v>1002</v>
      </c>
      <c r="G116" t="s">
        <v>560</v>
      </c>
      <c r="H116" t="s">
        <v>561</v>
      </c>
      <c r="I116" t="s">
        <v>1003</v>
      </c>
      <c r="L116" t="s">
        <v>603</v>
      </c>
      <c r="M116" t="s">
        <v>564</v>
      </c>
      <c r="N116" t="s">
        <v>565</v>
      </c>
      <c r="O116" t="s">
        <v>675</v>
      </c>
      <c r="P116" t="s">
        <v>642</v>
      </c>
      <c r="Q116" t="s">
        <v>568</v>
      </c>
      <c r="R116" t="s">
        <v>568</v>
      </c>
      <c r="S116" t="s">
        <v>569</v>
      </c>
      <c r="T116" t="s">
        <v>1004</v>
      </c>
      <c r="U116" t="s">
        <v>789</v>
      </c>
      <c r="V116" t="s">
        <v>1005</v>
      </c>
      <c r="W116" t="s">
        <v>645</v>
      </c>
      <c r="X116" t="s">
        <v>564</v>
      </c>
      <c r="Y116" t="s">
        <v>574</v>
      </c>
      <c r="Z116" t="s">
        <v>574</v>
      </c>
      <c r="AA116" t="s">
        <v>565</v>
      </c>
      <c r="AB116" t="s">
        <v>791</v>
      </c>
      <c r="AC116" t="s">
        <v>576</v>
      </c>
      <c r="AD116" t="s">
        <v>568</v>
      </c>
      <c r="AE116" t="s">
        <v>1006</v>
      </c>
      <c r="AF116" t="str">
        <f>IF(AND(HOUR(O116)&gt;=1,HOUR(O116)&lt;=13),VLOOKUP(B116,Programacion!$A$8:$S$1048576,16,FALSE),VLOOKUP(B116,Programacion!$A$8:$S$1048576,18,FALSE))</f>
        <v xml:space="preserve">  2293</v>
      </c>
      <c r="AG116" t="str">
        <f>IF(AND(HOUR(O116)&gt;=1,HOUR(O116)&lt;=13),VLOOKUP(B116,Programacion!$A$8:$S$1048576,17,FALSE),VLOOKUP(B116,Programacion!$A$8:$S$1048576,19,FALSE))</f>
        <v>GB01</v>
      </c>
    </row>
    <row r="117" spans="1:33" x14ac:dyDescent="0.25">
      <c r="A117" s="33" t="s">
        <v>979</v>
      </c>
      <c r="B117" t="s">
        <v>492</v>
      </c>
      <c r="C117" t="s">
        <v>980</v>
      </c>
      <c r="D117" t="s">
        <v>557</v>
      </c>
      <c r="E117" t="s">
        <v>558</v>
      </c>
      <c r="F117" t="s">
        <v>1007</v>
      </c>
      <c r="G117" t="s">
        <v>560</v>
      </c>
      <c r="H117" t="s">
        <v>561</v>
      </c>
      <c r="I117" t="s">
        <v>1008</v>
      </c>
      <c r="L117" t="s">
        <v>1009</v>
      </c>
      <c r="M117" t="s">
        <v>564</v>
      </c>
      <c r="N117" t="s">
        <v>573</v>
      </c>
      <c r="O117" t="s">
        <v>1010</v>
      </c>
      <c r="P117" t="s">
        <v>1011</v>
      </c>
      <c r="Q117" t="s">
        <v>568</v>
      </c>
      <c r="R117" t="s">
        <v>568</v>
      </c>
      <c r="S117" t="s">
        <v>569</v>
      </c>
      <c r="T117" t="s">
        <v>1012</v>
      </c>
      <c r="U117" t="s">
        <v>1013</v>
      </c>
      <c r="V117" t="s">
        <v>1014</v>
      </c>
      <c r="W117" t="s">
        <v>828</v>
      </c>
      <c r="X117" t="s">
        <v>564</v>
      </c>
      <c r="Y117" t="s">
        <v>574</v>
      </c>
      <c r="Z117" t="s">
        <v>574</v>
      </c>
      <c r="AA117" t="s">
        <v>565</v>
      </c>
      <c r="AB117" t="s">
        <v>1015</v>
      </c>
      <c r="AC117" t="s">
        <v>576</v>
      </c>
      <c r="AD117" t="s">
        <v>599</v>
      </c>
      <c r="AE117" t="s">
        <v>647</v>
      </c>
      <c r="AF117" t="str">
        <f>IF(AND(HOUR(O117)&gt;=1,HOUR(O117)&lt;=13),VLOOKUP(B117,Programacion!$A$8:$S$1048576,16,FALSE),VLOOKUP(B117,Programacion!$A$8:$S$1048576,18,FALSE))</f>
        <v xml:space="preserve">  2293</v>
      </c>
      <c r="AG117" t="str">
        <f>IF(AND(HOUR(O117)&gt;=1,HOUR(O117)&lt;=13),VLOOKUP(B117,Programacion!$A$8:$S$1048576,17,FALSE),VLOOKUP(B117,Programacion!$A$8:$S$1048576,19,FALSE))</f>
        <v>GB01</v>
      </c>
    </row>
    <row r="118" spans="1:33" x14ac:dyDescent="0.25">
      <c r="A118" s="33" t="s">
        <v>979</v>
      </c>
      <c r="B118" t="s">
        <v>492</v>
      </c>
      <c r="C118" t="s">
        <v>980</v>
      </c>
      <c r="D118" t="s">
        <v>557</v>
      </c>
      <c r="E118" t="s">
        <v>558</v>
      </c>
      <c r="F118" t="s">
        <v>1007</v>
      </c>
      <c r="G118" t="s">
        <v>560</v>
      </c>
      <c r="H118" t="s">
        <v>561</v>
      </c>
      <c r="I118" t="s">
        <v>1008</v>
      </c>
      <c r="L118" t="s">
        <v>1009</v>
      </c>
      <c r="M118" t="s">
        <v>564</v>
      </c>
      <c r="N118" t="s">
        <v>573</v>
      </c>
      <c r="O118" t="s">
        <v>1010</v>
      </c>
      <c r="P118" t="s">
        <v>1011</v>
      </c>
      <c r="Q118" t="s">
        <v>568</v>
      </c>
      <c r="R118" t="s">
        <v>568</v>
      </c>
      <c r="S118" t="s">
        <v>569</v>
      </c>
      <c r="T118" t="s">
        <v>1012</v>
      </c>
      <c r="U118" t="s">
        <v>1013</v>
      </c>
      <c r="V118" t="s">
        <v>1014</v>
      </c>
      <c r="W118" t="s">
        <v>828</v>
      </c>
      <c r="X118" t="s">
        <v>564</v>
      </c>
      <c r="Y118" t="s">
        <v>574</v>
      </c>
      <c r="Z118" t="s">
        <v>574</v>
      </c>
      <c r="AA118" t="s">
        <v>565</v>
      </c>
      <c r="AB118" t="s">
        <v>1015</v>
      </c>
      <c r="AC118" t="s">
        <v>588</v>
      </c>
      <c r="AD118" t="s">
        <v>599</v>
      </c>
      <c r="AE118" t="s">
        <v>618</v>
      </c>
      <c r="AF118" t="str">
        <f>IF(AND(HOUR(O118)&gt;=1,HOUR(O118)&lt;=13),VLOOKUP(B118,Programacion!$A$8:$S$1048576,16,FALSE),VLOOKUP(B118,Programacion!$A$8:$S$1048576,18,FALSE))</f>
        <v xml:space="preserve">  2293</v>
      </c>
      <c r="AG118" t="str">
        <f>IF(AND(HOUR(O118)&gt;=1,HOUR(O118)&lt;=13),VLOOKUP(B118,Programacion!$A$8:$S$1048576,17,FALSE),VLOOKUP(B118,Programacion!$A$8:$S$1048576,19,FALSE))</f>
        <v>GB01</v>
      </c>
    </row>
    <row r="119" spans="1:33" x14ac:dyDescent="0.25">
      <c r="A119" s="33" t="s">
        <v>979</v>
      </c>
      <c r="B119" t="s">
        <v>492</v>
      </c>
      <c r="C119" t="s">
        <v>980</v>
      </c>
      <c r="D119" t="s">
        <v>557</v>
      </c>
      <c r="E119" t="s">
        <v>558</v>
      </c>
      <c r="F119" t="s">
        <v>1007</v>
      </c>
      <c r="G119" t="s">
        <v>560</v>
      </c>
      <c r="H119" t="s">
        <v>561</v>
      </c>
      <c r="I119" t="s">
        <v>1008</v>
      </c>
      <c r="L119" t="s">
        <v>1009</v>
      </c>
      <c r="M119" t="s">
        <v>564</v>
      </c>
      <c r="N119" t="s">
        <v>573</v>
      </c>
      <c r="O119" t="s">
        <v>1010</v>
      </c>
      <c r="P119" t="s">
        <v>1011</v>
      </c>
      <c r="Q119" t="s">
        <v>568</v>
      </c>
      <c r="R119" t="s">
        <v>568</v>
      </c>
      <c r="S119" t="s">
        <v>569</v>
      </c>
      <c r="T119" t="s">
        <v>1012</v>
      </c>
      <c r="U119" t="s">
        <v>1013</v>
      </c>
      <c r="V119" t="s">
        <v>1014</v>
      </c>
      <c r="W119" t="s">
        <v>828</v>
      </c>
      <c r="X119" t="s">
        <v>564</v>
      </c>
      <c r="Y119" t="s">
        <v>574</v>
      </c>
      <c r="Z119" t="s">
        <v>574</v>
      </c>
      <c r="AA119" t="s">
        <v>565</v>
      </c>
      <c r="AB119" t="s">
        <v>1015</v>
      </c>
      <c r="AC119" t="s">
        <v>596</v>
      </c>
      <c r="AD119" t="s">
        <v>599</v>
      </c>
      <c r="AE119" t="s">
        <v>600</v>
      </c>
      <c r="AF119" t="str">
        <f>IF(AND(HOUR(O119)&gt;=1,HOUR(O119)&lt;=13),VLOOKUP(B119,Programacion!$A$8:$S$1048576,16,FALSE),VLOOKUP(B119,Programacion!$A$8:$S$1048576,18,FALSE))</f>
        <v xml:space="preserve">  2293</v>
      </c>
      <c r="AG119" t="str">
        <f>IF(AND(HOUR(O119)&gt;=1,HOUR(O119)&lt;=13),VLOOKUP(B119,Programacion!$A$8:$S$1048576,17,FALSE),VLOOKUP(B119,Programacion!$A$8:$S$1048576,19,FALSE))</f>
        <v>GB01</v>
      </c>
    </row>
    <row r="120" spans="1:33" x14ac:dyDescent="0.25">
      <c r="A120" s="33" t="s">
        <v>979</v>
      </c>
      <c r="B120" t="s">
        <v>492</v>
      </c>
      <c r="C120" t="s">
        <v>980</v>
      </c>
      <c r="D120" t="s">
        <v>557</v>
      </c>
      <c r="E120" t="s">
        <v>558</v>
      </c>
      <c r="F120" t="s">
        <v>1007</v>
      </c>
      <c r="G120" t="s">
        <v>560</v>
      </c>
      <c r="H120" t="s">
        <v>561</v>
      </c>
      <c r="I120" t="s">
        <v>1008</v>
      </c>
      <c r="L120" t="s">
        <v>1009</v>
      </c>
      <c r="M120" t="s">
        <v>564</v>
      </c>
      <c r="N120" t="s">
        <v>573</v>
      </c>
      <c r="O120" t="s">
        <v>1010</v>
      </c>
      <c r="P120" t="s">
        <v>1011</v>
      </c>
      <c r="Q120" t="s">
        <v>568</v>
      </c>
      <c r="R120" t="s">
        <v>568</v>
      </c>
      <c r="S120" t="s">
        <v>569</v>
      </c>
      <c r="T120" t="s">
        <v>1012</v>
      </c>
      <c r="U120" t="s">
        <v>1013</v>
      </c>
      <c r="V120" t="s">
        <v>1014</v>
      </c>
      <c r="W120" t="s">
        <v>828</v>
      </c>
      <c r="X120" t="s">
        <v>564</v>
      </c>
      <c r="Y120" t="s">
        <v>574</v>
      </c>
      <c r="Z120" t="s">
        <v>574</v>
      </c>
      <c r="AA120" t="s">
        <v>565</v>
      </c>
      <c r="AB120" t="s">
        <v>1015</v>
      </c>
      <c r="AC120" t="s">
        <v>598</v>
      </c>
      <c r="AD120" t="s">
        <v>599</v>
      </c>
      <c r="AE120" t="s">
        <v>663</v>
      </c>
      <c r="AF120" t="str">
        <f>IF(AND(HOUR(O120)&gt;=1,HOUR(O120)&lt;=13),VLOOKUP(B120,Programacion!$A$8:$S$1048576,16,FALSE),VLOOKUP(B120,Programacion!$A$8:$S$1048576,18,FALSE))</f>
        <v xml:space="preserve">  2293</v>
      </c>
      <c r="AG120" t="str">
        <f>IF(AND(HOUR(O120)&gt;=1,HOUR(O120)&lt;=13),VLOOKUP(B120,Programacion!$A$8:$S$1048576,17,FALSE),VLOOKUP(B120,Programacion!$A$8:$S$1048576,19,FALSE))</f>
        <v>GB01</v>
      </c>
    </row>
    <row r="121" spans="1:33" x14ac:dyDescent="0.25">
      <c r="A121" s="33" t="s">
        <v>979</v>
      </c>
      <c r="B121" t="s">
        <v>492</v>
      </c>
      <c r="C121" t="s">
        <v>980</v>
      </c>
      <c r="D121" t="s">
        <v>557</v>
      </c>
      <c r="E121" t="s">
        <v>558</v>
      </c>
      <c r="F121" t="s">
        <v>1007</v>
      </c>
      <c r="G121" t="s">
        <v>560</v>
      </c>
      <c r="H121" t="s">
        <v>561</v>
      </c>
      <c r="I121" t="s">
        <v>1008</v>
      </c>
      <c r="L121" t="s">
        <v>1009</v>
      </c>
      <c r="M121" t="s">
        <v>564</v>
      </c>
      <c r="N121" t="s">
        <v>573</v>
      </c>
      <c r="O121" t="s">
        <v>1010</v>
      </c>
      <c r="P121" t="s">
        <v>1011</v>
      </c>
      <c r="Q121" t="s">
        <v>568</v>
      </c>
      <c r="R121" t="s">
        <v>568</v>
      </c>
      <c r="S121" t="s">
        <v>569</v>
      </c>
      <c r="T121" t="s">
        <v>1016</v>
      </c>
      <c r="U121" t="s">
        <v>1017</v>
      </c>
      <c r="V121" t="s">
        <v>1018</v>
      </c>
      <c r="W121" t="s">
        <v>594</v>
      </c>
      <c r="X121" t="s">
        <v>564</v>
      </c>
      <c r="Y121" t="s">
        <v>574</v>
      </c>
      <c r="Z121" t="s">
        <v>574</v>
      </c>
      <c r="AA121" t="s">
        <v>565</v>
      </c>
      <c r="AB121" t="s">
        <v>1019</v>
      </c>
      <c r="AC121" t="s">
        <v>598</v>
      </c>
      <c r="AD121" t="s">
        <v>599</v>
      </c>
      <c r="AE121" t="s">
        <v>651</v>
      </c>
      <c r="AF121" t="str">
        <f>IF(AND(HOUR(O121)&gt;=1,HOUR(O121)&lt;=13),VLOOKUP(B121,Programacion!$A$8:$S$1048576,16,FALSE),VLOOKUP(B121,Programacion!$A$8:$S$1048576,18,FALSE))</f>
        <v xml:space="preserve">  2293</v>
      </c>
      <c r="AG121" t="str">
        <f>IF(AND(HOUR(O121)&gt;=1,HOUR(O121)&lt;=13),VLOOKUP(B121,Programacion!$A$8:$S$1048576,17,FALSE),VLOOKUP(B121,Programacion!$A$8:$S$1048576,19,FALSE))</f>
        <v>GB01</v>
      </c>
    </row>
    <row r="122" spans="1:33" x14ac:dyDescent="0.25">
      <c r="A122" s="33" t="s">
        <v>183</v>
      </c>
      <c r="B122" t="s">
        <v>1020</v>
      </c>
      <c r="C122" t="s">
        <v>1021</v>
      </c>
      <c r="D122" t="s">
        <v>557</v>
      </c>
      <c r="E122" t="s">
        <v>558</v>
      </c>
      <c r="F122" t="s">
        <v>1022</v>
      </c>
      <c r="G122" t="s">
        <v>560</v>
      </c>
      <c r="H122" t="s">
        <v>561</v>
      </c>
      <c r="I122" t="s">
        <v>1023</v>
      </c>
      <c r="L122" t="s">
        <v>737</v>
      </c>
      <c r="M122" t="s">
        <v>564</v>
      </c>
      <c r="N122" t="s">
        <v>573</v>
      </c>
      <c r="O122" t="s">
        <v>609</v>
      </c>
      <c r="P122" t="s">
        <v>1024</v>
      </c>
      <c r="Q122" t="s">
        <v>704</v>
      </c>
      <c r="R122" t="s">
        <v>704</v>
      </c>
      <c r="S122" t="s">
        <v>844</v>
      </c>
      <c r="T122" t="s">
        <v>1025</v>
      </c>
      <c r="U122" t="s">
        <v>1026</v>
      </c>
      <c r="V122" t="s">
        <v>1027</v>
      </c>
      <c r="W122" t="s">
        <v>586</v>
      </c>
      <c r="X122" t="s">
        <v>564</v>
      </c>
      <c r="Y122" t="s">
        <v>574</v>
      </c>
      <c r="Z122" t="s">
        <v>574</v>
      </c>
      <c r="AA122" t="s">
        <v>565</v>
      </c>
      <c r="AB122" t="s">
        <v>751</v>
      </c>
      <c r="AC122" t="s">
        <v>576</v>
      </c>
      <c r="AD122" t="s">
        <v>589</v>
      </c>
      <c r="AE122" t="s">
        <v>663</v>
      </c>
      <c r="AF122" t="e">
        <f>IF(AND(HOUR(O122)&gt;=1,HOUR(O122)&lt;=13),VLOOKUP(B122,Programacion!$A$8:$S$1048576,16,FALSE),VLOOKUP(B122,Programacion!$A$8:$S$1048576,18,FALSE))</f>
        <v>#N/A</v>
      </c>
      <c r="AG122" t="e">
        <f>IF(AND(HOUR(O122)&gt;=1,HOUR(O122)&lt;=13),VLOOKUP(B122,Programacion!$A$8:$S$1048576,17,FALSE),VLOOKUP(B122,Programacion!$A$8:$S$1048576,19,FALSE))</f>
        <v>#N/A</v>
      </c>
    </row>
    <row r="123" spans="1:33" x14ac:dyDescent="0.25">
      <c r="A123" s="33" t="s">
        <v>183</v>
      </c>
      <c r="B123" t="s">
        <v>1020</v>
      </c>
      <c r="C123" t="s">
        <v>1021</v>
      </c>
      <c r="D123" t="s">
        <v>557</v>
      </c>
      <c r="E123" t="s">
        <v>558</v>
      </c>
      <c r="F123" t="s">
        <v>1022</v>
      </c>
      <c r="G123" t="s">
        <v>560</v>
      </c>
      <c r="H123" t="s">
        <v>561</v>
      </c>
      <c r="I123" t="s">
        <v>1023</v>
      </c>
      <c r="L123" t="s">
        <v>737</v>
      </c>
      <c r="M123" t="s">
        <v>564</v>
      </c>
      <c r="N123" t="s">
        <v>573</v>
      </c>
      <c r="O123" t="s">
        <v>609</v>
      </c>
      <c r="P123" t="s">
        <v>1024</v>
      </c>
      <c r="Q123" t="s">
        <v>704</v>
      </c>
      <c r="R123" t="s">
        <v>704</v>
      </c>
      <c r="S123" t="s">
        <v>844</v>
      </c>
      <c r="T123" t="s">
        <v>1025</v>
      </c>
      <c r="U123" t="s">
        <v>1026</v>
      </c>
      <c r="V123" t="s">
        <v>1027</v>
      </c>
      <c r="W123" t="s">
        <v>586</v>
      </c>
      <c r="X123" t="s">
        <v>564</v>
      </c>
      <c r="Y123" t="s">
        <v>574</v>
      </c>
      <c r="Z123" t="s">
        <v>574</v>
      </c>
      <c r="AA123" t="s">
        <v>565</v>
      </c>
      <c r="AB123" t="s">
        <v>751</v>
      </c>
      <c r="AC123" t="s">
        <v>596</v>
      </c>
      <c r="AD123" t="s">
        <v>798</v>
      </c>
      <c r="AE123" t="s">
        <v>647</v>
      </c>
      <c r="AF123" t="e">
        <f>IF(AND(HOUR(O123)&gt;=1,HOUR(O123)&lt;=13),VLOOKUP(B123,Programacion!$A$8:$S$1048576,16,FALSE),VLOOKUP(B123,Programacion!$A$8:$S$1048576,18,FALSE))</f>
        <v>#N/A</v>
      </c>
      <c r="AG123" t="e">
        <f>IF(AND(HOUR(O123)&gt;=1,HOUR(O123)&lt;=13),VLOOKUP(B123,Programacion!$A$8:$S$1048576,17,FALSE),VLOOKUP(B123,Programacion!$A$8:$S$1048576,19,FALSE))</f>
        <v>#N/A</v>
      </c>
    </row>
    <row r="124" spans="1:33" x14ac:dyDescent="0.25">
      <c r="A124" s="33" t="s">
        <v>183</v>
      </c>
      <c r="B124" t="s">
        <v>1020</v>
      </c>
      <c r="C124" t="s">
        <v>1021</v>
      </c>
      <c r="D124" t="s">
        <v>557</v>
      </c>
      <c r="E124" t="s">
        <v>558</v>
      </c>
      <c r="F124" t="s">
        <v>1022</v>
      </c>
      <c r="G124" t="s">
        <v>560</v>
      </c>
      <c r="H124" t="s">
        <v>561</v>
      </c>
      <c r="I124" t="s">
        <v>1023</v>
      </c>
      <c r="L124" t="s">
        <v>737</v>
      </c>
      <c r="M124" t="s">
        <v>564</v>
      </c>
      <c r="N124" t="s">
        <v>573</v>
      </c>
      <c r="O124" t="s">
        <v>609</v>
      </c>
      <c r="P124" t="s">
        <v>1024</v>
      </c>
      <c r="Q124" t="s">
        <v>704</v>
      </c>
      <c r="R124" t="s">
        <v>704</v>
      </c>
      <c r="S124" t="s">
        <v>844</v>
      </c>
      <c r="T124" t="s">
        <v>1025</v>
      </c>
      <c r="U124" t="s">
        <v>1026</v>
      </c>
      <c r="V124" t="s">
        <v>1027</v>
      </c>
      <c r="W124" t="s">
        <v>586</v>
      </c>
      <c r="X124" t="s">
        <v>564</v>
      </c>
      <c r="Y124" t="s">
        <v>574</v>
      </c>
      <c r="Z124" t="s">
        <v>574</v>
      </c>
      <c r="AA124" t="s">
        <v>565</v>
      </c>
      <c r="AB124" t="s">
        <v>751</v>
      </c>
      <c r="AC124" t="s">
        <v>598</v>
      </c>
      <c r="AD124" t="s">
        <v>869</v>
      </c>
      <c r="AE124" t="s">
        <v>618</v>
      </c>
      <c r="AF124" t="e">
        <f>IF(AND(HOUR(O124)&gt;=1,HOUR(O124)&lt;=13),VLOOKUP(B124,Programacion!$A$8:$S$1048576,16,FALSE),VLOOKUP(B124,Programacion!$A$8:$S$1048576,18,FALSE))</f>
        <v>#N/A</v>
      </c>
      <c r="AG124" t="e">
        <f>IF(AND(HOUR(O124)&gt;=1,HOUR(O124)&lt;=13),VLOOKUP(B124,Programacion!$A$8:$S$1048576,17,FALSE),VLOOKUP(B124,Programacion!$A$8:$S$1048576,19,FALSE))</f>
        <v>#N/A</v>
      </c>
    </row>
    <row r="125" spans="1:33" x14ac:dyDescent="0.25">
      <c r="A125" s="33" t="s">
        <v>183</v>
      </c>
      <c r="B125" t="s">
        <v>1020</v>
      </c>
      <c r="C125" t="s">
        <v>1021</v>
      </c>
      <c r="D125" t="s">
        <v>557</v>
      </c>
      <c r="E125" t="s">
        <v>558</v>
      </c>
      <c r="F125" t="s">
        <v>1022</v>
      </c>
      <c r="G125" t="s">
        <v>560</v>
      </c>
      <c r="H125" t="s">
        <v>561</v>
      </c>
      <c r="I125" t="s">
        <v>1023</v>
      </c>
      <c r="L125" t="s">
        <v>737</v>
      </c>
      <c r="M125" t="s">
        <v>564</v>
      </c>
      <c r="N125" t="s">
        <v>573</v>
      </c>
      <c r="O125" t="s">
        <v>609</v>
      </c>
      <c r="P125" t="s">
        <v>1024</v>
      </c>
      <c r="Q125" t="s">
        <v>704</v>
      </c>
      <c r="R125" t="s">
        <v>704</v>
      </c>
      <c r="S125" t="s">
        <v>844</v>
      </c>
      <c r="T125" t="s">
        <v>1028</v>
      </c>
      <c r="U125" t="s">
        <v>1029</v>
      </c>
      <c r="V125" t="s">
        <v>1030</v>
      </c>
      <c r="W125" t="s">
        <v>682</v>
      </c>
      <c r="X125" t="s">
        <v>564</v>
      </c>
      <c r="Y125" t="s">
        <v>574</v>
      </c>
      <c r="Z125" t="s">
        <v>574</v>
      </c>
      <c r="AA125" t="s">
        <v>565</v>
      </c>
      <c r="AB125" t="s">
        <v>687</v>
      </c>
      <c r="AC125" t="s">
        <v>588</v>
      </c>
      <c r="AD125" t="s">
        <v>599</v>
      </c>
      <c r="AE125" t="s">
        <v>651</v>
      </c>
      <c r="AF125" t="e">
        <f>IF(AND(HOUR(O125)&gt;=1,HOUR(O125)&lt;=13),VLOOKUP(B125,Programacion!$A$8:$S$1048576,16,FALSE),VLOOKUP(B125,Programacion!$A$8:$S$1048576,18,FALSE))</f>
        <v>#N/A</v>
      </c>
      <c r="AG125" t="e">
        <f>IF(AND(HOUR(O125)&gt;=1,HOUR(O125)&lt;=13),VLOOKUP(B125,Programacion!$A$8:$S$1048576,17,FALSE),VLOOKUP(B125,Programacion!$A$8:$S$1048576,19,FALSE))</f>
        <v>#N/A</v>
      </c>
    </row>
    <row r="126" spans="1:33" x14ac:dyDescent="0.25">
      <c r="A126" s="33" t="s">
        <v>183</v>
      </c>
      <c r="B126" t="s">
        <v>1020</v>
      </c>
      <c r="C126" t="s">
        <v>1021</v>
      </c>
      <c r="D126" t="s">
        <v>557</v>
      </c>
      <c r="E126" t="s">
        <v>558</v>
      </c>
      <c r="F126" t="s">
        <v>1022</v>
      </c>
      <c r="G126" t="s">
        <v>560</v>
      </c>
      <c r="H126" t="s">
        <v>561</v>
      </c>
      <c r="I126" t="s">
        <v>1023</v>
      </c>
      <c r="L126" t="s">
        <v>737</v>
      </c>
      <c r="M126" t="s">
        <v>564</v>
      </c>
      <c r="N126" t="s">
        <v>573</v>
      </c>
      <c r="O126" t="s">
        <v>609</v>
      </c>
      <c r="P126" t="s">
        <v>1024</v>
      </c>
      <c r="Q126" t="s">
        <v>704</v>
      </c>
      <c r="R126" t="s">
        <v>704</v>
      </c>
      <c r="S126" t="s">
        <v>844</v>
      </c>
      <c r="T126" t="s">
        <v>1028</v>
      </c>
      <c r="U126" t="s">
        <v>1029</v>
      </c>
      <c r="V126" t="s">
        <v>1030</v>
      </c>
      <c r="W126" t="s">
        <v>682</v>
      </c>
      <c r="X126" t="s">
        <v>564</v>
      </c>
      <c r="Y126" t="s">
        <v>574</v>
      </c>
      <c r="Z126" t="s">
        <v>574</v>
      </c>
      <c r="AA126" t="s">
        <v>565</v>
      </c>
      <c r="AB126" t="s">
        <v>687</v>
      </c>
      <c r="AC126" t="s">
        <v>596</v>
      </c>
      <c r="AD126" t="s">
        <v>695</v>
      </c>
      <c r="AE126" t="s">
        <v>696</v>
      </c>
      <c r="AF126" t="e">
        <f>IF(AND(HOUR(O126)&gt;=1,HOUR(O126)&lt;=13),VLOOKUP(B126,Programacion!$A$8:$S$1048576,16,FALSE),VLOOKUP(B126,Programacion!$A$8:$S$1048576,18,FALSE))</f>
        <v>#N/A</v>
      </c>
      <c r="AG126" t="e">
        <f>IF(AND(HOUR(O126)&gt;=1,HOUR(O126)&lt;=13),VLOOKUP(B126,Programacion!$A$8:$S$1048576,17,FALSE),VLOOKUP(B126,Programacion!$A$8:$S$1048576,19,FALSE))</f>
        <v>#N/A</v>
      </c>
    </row>
    <row r="127" spans="1:33" x14ac:dyDescent="0.25">
      <c r="A127" s="33" t="s">
        <v>183</v>
      </c>
      <c r="B127" t="s">
        <v>1020</v>
      </c>
      <c r="C127" t="s">
        <v>1021</v>
      </c>
      <c r="D127" t="s">
        <v>557</v>
      </c>
      <c r="E127" t="s">
        <v>558</v>
      </c>
      <c r="F127" t="s">
        <v>1022</v>
      </c>
      <c r="G127" t="s">
        <v>560</v>
      </c>
      <c r="H127" t="s">
        <v>561</v>
      </c>
      <c r="I127" t="s">
        <v>1023</v>
      </c>
      <c r="L127" t="s">
        <v>737</v>
      </c>
      <c r="M127" t="s">
        <v>564</v>
      </c>
      <c r="N127" t="s">
        <v>573</v>
      </c>
      <c r="O127" t="s">
        <v>609</v>
      </c>
      <c r="P127" t="s">
        <v>1024</v>
      </c>
      <c r="Q127" t="s">
        <v>704</v>
      </c>
      <c r="R127" t="s">
        <v>704</v>
      </c>
      <c r="S127" t="s">
        <v>844</v>
      </c>
      <c r="T127" t="s">
        <v>1028</v>
      </c>
      <c r="U127" t="s">
        <v>1029</v>
      </c>
      <c r="V127" t="s">
        <v>1030</v>
      </c>
      <c r="W127" t="s">
        <v>682</v>
      </c>
      <c r="X127" t="s">
        <v>564</v>
      </c>
      <c r="Y127" t="s">
        <v>574</v>
      </c>
      <c r="Z127" t="s">
        <v>574</v>
      </c>
      <c r="AA127" t="s">
        <v>565</v>
      </c>
      <c r="AB127" t="s">
        <v>687</v>
      </c>
      <c r="AC127" t="s">
        <v>598</v>
      </c>
      <c r="AD127" t="s">
        <v>869</v>
      </c>
      <c r="AE127" t="s">
        <v>600</v>
      </c>
      <c r="AF127" t="e">
        <f>IF(AND(HOUR(O127)&gt;=1,HOUR(O127)&lt;=13),VLOOKUP(B127,Programacion!$A$8:$S$1048576,16,FALSE),VLOOKUP(B127,Programacion!$A$8:$S$1048576,18,FALSE))</f>
        <v>#N/A</v>
      </c>
      <c r="AG127" t="e">
        <f>IF(AND(HOUR(O127)&gt;=1,HOUR(O127)&lt;=13),VLOOKUP(B127,Programacion!$A$8:$S$1048576,17,FALSE),VLOOKUP(B127,Programacion!$A$8:$S$1048576,19,FALSE))</f>
        <v>#N/A</v>
      </c>
    </row>
    <row r="128" spans="1:33" x14ac:dyDescent="0.25">
      <c r="A128" s="33" t="s">
        <v>154</v>
      </c>
      <c r="B128" t="s">
        <v>510</v>
      </c>
      <c r="C128" t="s">
        <v>1031</v>
      </c>
      <c r="D128" t="s">
        <v>557</v>
      </c>
      <c r="E128" t="s">
        <v>558</v>
      </c>
      <c r="F128" t="s">
        <v>1032</v>
      </c>
      <c r="G128" t="s">
        <v>560</v>
      </c>
      <c r="H128" t="s">
        <v>561</v>
      </c>
      <c r="I128" t="s">
        <v>1033</v>
      </c>
      <c r="J128" t="s">
        <v>1034</v>
      </c>
      <c r="L128" t="s">
        <v>701</v>
      </c>
      <c r="M128" t="s">
        <v>564</v>
      </c>
      <c r="N128" t="s">
        <v>573</v>
      </c>
      <c r="O128" t="s">
        <v>631</v>
      </c>
      <c r="P128" t="s">
        <v>716</v>
      </c>
      <c r="Q128" t="s">
        <v>704</v>
      </c>
      <c r="R128" t="s">
        <v>704</v>
      </c>
      <c r="S128" t="s">
        <v>725</v>
      </c>
      <c r="T128" t="s">
        <v>1035</v>
      </c>
      <c r="U128" t="s">
        <v>1036</v>
      </c>
      <c r="V128" t="s">
        <v>1037</v>
      </c>
      <c r="W128" t="s">
        <v>594</v>
      </c>
      <c r="X128" t="s">
        <v>564</v>
      </c>
      <c r="Y128" t="s">
        <v>574</v>
      </c>
      <c r="Z128" t="s">
        <v>574</v>
      </c>
      <c r="AA128" t="s">
        <v>565</v>
      </c>
      <c r="AB128" t="s">
        <v>1038</v>
      </c>
      <c r="AC128" t="s">
        <v>576</v>
      </c>
      <c r="AD128" t="s">
        <v>757</v>
      </c>
      <c r="AE128" t="s">
        <v>1039</v>
      </c>
      <c r="AF128" t="str">
        <f>IF(AND(HOUR(O128)&gt;=1,HOUR(O128)&lt;=13),VLOOKUP(B128,Programacion!$A$8:$S$1048576,16,FALSE),VLOOKUP(B128,Programacion!$A$8:$S$1048576,18,FALSE))</f>
        <v xml:space="preserve">   847</v>
      </c>
      <c r="AG128" t="str">
        <f>IF(AND(HOUR(O128)&gt;=1,HOUR(O128)&lt;=13),VLOOKUP(B128,Programacion!$A$8:$S$1048576,17,FALSE),VLOOKUP(B128,Programacion!$A$8:$S$1048576,19,FALSE))</f>
        <v>GB01</v>
      </c>
    </row>
    <row r="129" spans="1:33" x14ac:dyDescent="0.25">
      <c r="A129" s="33" t="s">
        <v>154</v>
      </c>
      <c r="B129" t="s">
        <v>510</v>
      </c>
      <c r="C129" t="s">
        <v>1031</v>
      </c>
      <c r="D129" t="s">
        <v>557</v>
      </c>
      <c r="E129" t="s">
        <v>558</v>
      </c>
      <c r="F129" t="s">
        <v>1032</v>
      </c>
      <c r="G129" t="s">
        <v>560</v>
      </c>
      <c r="H129" t="s">
        <v>561</v>
      </c>
      <c r="I129" t="s">
        <v>1033</v>
      </c>
      <c r="J129" t="s">
        <v>1034</v>
      </c>
      <c r="L129" t="s">
        <v>701</v>
      </c>
      <c r="M129" t="s">
        <v>564</v>
      </c>
      <c r="N129" t="s">
        <v>573</v>
      </c>
      <c r="O129" t="s">
        <v>631</v>
      </c>
      <c r="P129" t="s">
        <v>716</v>
      </c>
      <c r="Q129" t="s">
        <v>704</v>
      </c>
      <c r="R129" t="s">
        <v>704</v>
      </c>
      <c r="S129" t="s">
        <v>725</v>
      </c>
      <c r="T129" t="s">
        <v>1035</v>
      </c>
      <c r="U129" t="s">
        <v>1036</v>
      </c>
      <c r="V129" t="s">
        <v>1037</v>
      </c>
      <c r="W129" t="s">
        <v>594</v>
      </c>
      <c r="X129" t="s">
        <v>564</v>
      </c>
      <c r="Y129" t="s">
        <v>574</v>
      </c>
      <c r="Z129" t="s">
        <v>574</v>
      </c>
      <c r="AA129" t="s">
        <v>565</v>
      </c>
      <c r="AB129" t="s">
        <v>1038</v>
      </c>
      <c r="AC129" t="s">
        <v>588</v>
      </c>
      <c r="AD129" t="s">
        <v>599</v>
      </c>
      <c r="AE129" t="s">
        <v>647</v>
      </c>
      <c r="AF129" t="str">
        <f>IF(AND(HOUR(O129)&gt;=1,HOUR(O129)&lt;=13),VLOOKUP(B129,Programacion!$A$8:$S$1048576,16,FALSE),VLOOKUP(B129,Programacion!$A$8:$S$1048576,18,FALSE))</f>
        <v xml:space="preserve">   847</v>
      </c>
      <c r="AG129" t="str">
        <f>IF(AND(HOUR(O129)&gt;=1,HOUR(O129)&lt;=13),VLOOKUP(B129,Programacion!$A$8:$S$1048576,17,FALSE),VLOOKUP(B129,Programacion!$A$8:$S$1048576,19,FALSE))</f>
        <v>GB01</v>
      </c>
    </row>
    <row r="130" spans="1:33" x14ac:dyDescent="0.25">
      <c r="A130" s="33" t="s">
        <v>154</v>
      </c>
      <c r="B130" t="s">
        <v>510</v>
      </c>
      <c r="C130" t="s">
        <v>1031</v>
      </c>
      <c r="D130" t="s">
        <v>557</v>
      </c>
      <c r="E130" t="s">
        <v>558</v>
      </c>
      <c r="F130" t="s">
        <v>1032</v>
      </c>
      <c r="G130" t="s">
        <v>560</v>
      </c>
      <c r="H130" t="s">
        <v>561</v>
      </c>
      <c r="I130" t="s">
        <v>1033</v>
      </c>
      <c r="J130" t="s">
        <v>1034</v>
      </c>
      <c r="L130" t="s">
        <v>701</v>
      </c>
      <c r="M130" t="s">
        <v>564</v>
      </c>
      <c r="N130" t="s">
        <v>573</v>
      </c>
      <c r="O130" t="s">
        <v>631</v>
      </c>
      <c r="P130" t="s">
        <v>716</v>
      </c>
      <c r="Q130" t="s">
        <v>704</v>
      </c>
      <c r="R130" t="s">
        <v>704</v>
      </c>
      <c r="S130" t="s">
        <v>725</v>
      </c>
      <c r="T130" t="s">
        <v>1035</v>
      </c>
      <c r="U130" t="s">
        <v>1036</v>
      </c>
      <c r="V130" t="s">
        <v>1037</v>
      </c>
      <c r="W130" t="s">
        <v>594</v>
      </c>
      <c r="X130" t="s">
        <v>564</v>
      </c>
      <c r="Y130" t="s">
        <v>574</v>
      </c>
      <c r="Z130" t="s">
        <v>574</v>
      </c>
      <c r="AA130" t="s">
        <v>565</v>
      </c>
      <c r="AB130" t="s">
        <v>1038</v>
      </c>
      <c r="AC130" t="s">
        <v>596</v>
      </c>
      <c r="AD130" t="s">
        <v>599</v>
      </c>
      <c r="AE130" t="s">
        <v>600</v>
      </c>
      <c r="AF130" t="str">
        <f>IF(AND(HOUR(O130)&gt;=1,HOUR(O130)&lt;=13),VLOOKUP(B130,Programacion!$A$8:$S$1048576,16,FALSE),VLOOKUP(B130,Programacion!$A$8:$S$1048576,18,FALSE))</f>
        <v xml:space="preserve">   847</v>
      </c>
      <c r="AG130" t="str">
        <f>IF(AND(HOUR(O130)&gt;=1,HOUR(O130)&lt;=13),VLOOKUP(B130,Programacion!$A$8:$S$1048576,17,FALSE),VLOOKUP(B130,Programacion!$A$8:$S$1048576,19,FALSE))</f>
        <v>GB01</v>
      </c>
    </row>
    <row r="131" spans="1:33" x14ac:dyDescent="0.25">
      <c r="A131" s="33" t="s">
        <v>154</v>
      </c>
      <c r="B131" t="s">
        <v>510</v>
      </c>
      <c r="C131" t="s">
        <v>1031</v>
      </c>
      <c r="D131" t="s">
        <v>557</v>
      </c>
      <c r="E131" t="s">
        <v>558</v>
      </c>
      <c r="F131" t="s">
        <v>1032</v>
      </c>
      <c r="G131" t="s">
        <v>560</v>
      </c>
      <c r="H131" t="s">
        <v>561</v>
      </c>
      <c r="I131" t="s">
        <v>1033</v>
      </c>
      <c r="J131" t="s">
        <v>1034</v>
      </c>
      <c r="L131" t="s">
        <v>701</v>
      </c>
      <c r="M131" t="s">
        <v>564</v>
      </c>
      <c r="N131" t="s">
        <v>573</v>
      </c>
      <c r="O131" t="s">
        <v>631</v>
      </c>
      <c r="P131" t="s">
        <v>716</v>
      </c>
      <c r="Q131" t="s">
        <v>704</v>
      </c>
      <c r="R131" t="s">
        <v>704</v>
      </c>
      <c r="S131" t="s">
        <v>725</v>
      </c>
      <c r="T131" t="s">
        <v>1035</v>
      </c>
      <c r="U131" t="s">
        <v>1036</v>
      </c>
      <c r="V131" t="s">
        <v>1037</v>
      </c>
      <c r="W131" t="s">
        <v>594</v>
      </c>
      <c r="X131" t="s">
        <v>564</v>
      </c>
      <c r="Y131" t="s">
        <v>574</v>
      </c>
      <c r="Z131" t="s">
        <v>574</v>
      </c>
      <c r="AA131" t="s">
        <v>565</v>
      </c>
      <c r="AB131" t="s">
        <v>1038</v>
      </c>
      <c r="AC131" t="s">
        <v>598</v>
      </c>
      <c r="AD131" t="s">
        <v>599</v>
      </c>
      <c r="AE131" t="s">
        <v>651</v>
      </c>
      <c r="AF131" t="str">
        <f>IF(AND(HOUR(O131)&gt;=1,HOUR(O131)&lt;=13),VLOOKUP(B131,Programacion!$A$8:$S$1048576,16,FALSE),VLOOKUP(B131,Programacion!$A$8:$S$1048576,18,FALSE))</f>
        <v xml:space="preserve">   847</v>
      </c>
      <c r="AG131" t="str">
        <f>IF(AND(HOUR(O131)&gt;=1,HOUR(O131)&lt;=13),VLOOKUP(B131,Programacion!$A$8:$S$1048576,17,FALSE),VLOOKUP(B131,Programacion!$A$8:$S$1048576,19,FALSE))</f>
        <v>GB01</v>
      </c>
    </row>
    <row r="132" spans="1:33" x14ac:dyDescent="0.25">
      <c r="A132" s="33" t="s">
        <v>154</v>
      </c>
      <c r="B132" t="s">
        <v>510</v>
      </c>
      <c r="C132" t="s">
        <v>1031</v>
      </c>
      <c r="D132" t="s">
        <v>557</v>
      </c>
      <c r="E132" t="s">
        <v>558</v>
      </c>
      <c r="F132" t="s">
        <v>1032</v>
      </c>
      <c r="G132" t="s">
        <v>560</v>
      </c>
      <c r="H132" t="s">
        <v>561</v>
      </c>
      <c r="I132" t="s">
        <v>1033</v>
      </c>
      <c r="J132" t="s">
        <v>1034</v>
      </c>
      <c r="L132" t="s">
        <v>701</v>
      </c>
      <c r="M132" t="s">
        <v>564</v>
      </c>
      <c r="N132" t="s">
        <v>573</v>
      </c>
      <c r="O132" t="s">
        <v>631</v>
      </c>
      <c r="P132" t="s">
        <v>716</v>
      </c>
      <c r="Q132" t="s">
        <v>704</v>
      </c>
      <c r="R132" t="s">
        <v>704</v>
      </c>
      <c r="S132" t="s">
        <v>725</v>
      </c>
      <c r="T132" t="s">
        <v>1040</v>
      </c>
      <c r="U132" t="s">
        <v>1041</v>
      </c>
      <c r="V132" t="s">
        <v>1042</v>
      </c>
      <c r="W132" t="s">
        <v>565</v>
      </c>
      <c r="X132" t="s">
        <v>564</v>
      </c>
      <c r="Y132" t="s">
        <v>574</v>
      </c>
      <c r="Z132" t="s">
        <v>574</v>
      </c>
      <c r="AA132" t="s">
        <v>828</v>
      </c>
      <c r="AB132" t="s">
        <v>587</v>
      </c>
      <c r="AC132" t="s">
        <v>588</v>
      </c>
      <c r="AD132" t="s">
        <v>742</v>
      </c>
      <c r="AE132" t="s">
        <v>663</v>
      </c>
      <c r="AF132" t="str">
        <f>IF(AND(HOUR(O132)&gt;=1,HOUR(O132)&lt;=13),VLOOKUP(B132,Programacion!$A$8:$S$1048576,16,FALSE),VLOOKUP(B132,Programacion!$A$8:$S$1048576,18,FALSE))</f>
        <v xml:space="preserve">   847</v>
      </c>
      <c r="AG132" t="str">
        <f>IF(AND(HOUR(O132)&gt;=1,HOUR(O132)&lt;=13),VLOOKUP(B132,Programacion!$A$8:$S$1048576,17,FALSE),VLOOKUP(B132,Programacion!$A$8:$S$1048576,19,FALSE))</f>
        <v>GB01</v>
      </c>
    </row>
    <row r="133" spans="1:33" x14ac:dyDescent="0.25">
      <c r="A133" s="33" t="s">
        <v>154</v>
      </c>
      <c r="B133" t="s">
        <v>510</v>
      </c>
      <c r="C133" t="s">
        <v>1031</v>
      </c>
      <c r="D133" t="s">
        <v>557</v>
      </c>
      <c r="E133" t="s">
        <v>558</v>
      </c>
      <c r="F133" t="s">
        <v>1043</v>
      </c>
      <c r="G133" t="s">
        <v>560</v>
      </c>
      <c r="H133" t="s">
        <v>561</v>
      </c>
      <c r="I133" t="s">
        <v>1044</v>
      </c>
      <c r="L133" t="s">
        <v>734</v>
      </c>
      <c r="M133" t="s">
        <v>564</v>
      </c>
      <c r="N133" t="s">
        <v>565</v>
      </c>
      <c r="O133" t="s">
        <v>780</v>
      </c>
      <c r="P133" t="s">
        <v>854</v>
      </c>
      <c r="Q133" t="s">
        <v>704</v>
      </c>
      <c r="R133" t="s">
        <v>704</v>
      </c>
      <c r="S133" t="s">
        <v>725</v>
      </c>
      <c r="T133" t="s">
        <v>1045</v>
      </c>
      <c r="U133" t="s">
        <v>1046</v>
      </c>
      <c r="V133" t="s">
        <v>1047</v>
      </c>
      <c r="W133" t="s">
        <v>565</v>
      </c>
      <c r="X133" t="s">
        <v>564</v>
      </c>
      <c r="Y133" t="s">
        <v>574</v>
      </c>
      <c r="Z133" t="s">
        <v>574</v>
      </c>
      <c r="AA133" t="s">
        <v>565</v>
      </c>
      <c r="AB133" t="s">
        <v>1048</v>
      </c>
      <c r="AC133" t="s">
        <v>576</v>
      </c>
      <c r="AD133" t="s">
        <v>704</v>
      </c>
      <c r="AE133" t="s">
        <v>1049</v>
      </c>
      <c r="AF133" t="str">
        <f>IF(AND(HOUR(O133)&gt;=1,HOUR(O133)&lt;=13),VLOOKUP(B133,Programacion!$A$8:$S$1048576,16,FALSE),VLOOKUP(B133,Programacion!$A$8:$S$1048576,18,FALSE))</f>
        <v xml:space="preserve">   847</v>
      </c>
      <c r="AG133" t="str">
        <f>IF(AND(HOUR(O133)&gt;=1,HOUR(O133)&lt;=13),VLOOKUP(B133,Programacion!$A$8:$S$1048576,17,FALSE),VLOOKUP(B133,Programacion!$A$8:$S$1048576,19,FALSE))</f>
        <v>GB01</v>
      </c>
    </row>
    <row r="134" spans="1:33" x14ac:dyDescent="0.25">
      <c r="A134" s="33" t="s">
        <v>1050</v>
      </c>
      <c r="B134" t="s">
        <v>499</v>
      </c>
      <c r="C134" t="s">
        <v>1051</v>
      </c>
      <c r="D134" t="s">
        <v>557</v>
      </c>
      <c r="E134" t="s">
        <v>558</v>
      </c>
      <c r="F134" t="s">
        <v>1052</v>
      </c>
      <c r="G134" t="s">
        <v>560</v>
      </c>
      <c r="H134" t="s">
        <v>561</v>
      </c>
      <c r="I134" t="s">
        <v>1053</v>
      </c>
      <c r="L134" t="s">
        <v>563</v>
      </c>
      <c r="M134" t="s">
        <v>564</v>
      </c>
      <c r="N134" t="s">
        <v>565</v>
      </c>
      <c r="O134" t="s">
        <v>566</v>
      </c>
      <c r="P134" t="s">
        <v>605</v>
      </c>
      <c r="Q134" t="s">
        <v>568</v>
      </c>
      <c r="R134" t="s">
        <v>568</v>
      </c>
      <c r="S134" t="s">
        <v>569</v>
      </c>
      <c r="T134" t="s">
        <v>794</v>
      </c>
      <c r="U134" t="s">
        <v>985</v>
      </c>
      <c r="V134" t="s">
        <v>1054</v>
      </c>
      <c r="W134" t="s">
        <v>586</v>
      </c>
      <c r="X134" t="s">
        <v>564</v>
      </c>
      <c r="Y134" t="s">
        <v>574</v>
      </c>
      <c r="Z134" t="s">
        <v>574</v>
      </c>
      <c r="AA134" t="s">
        <v>565</v>
      </c>
      <c r="AB134" t="s">
        <v>702</v>
      </c>
      <c r="AC134" t="s">
        <v>576</v>
      </c>
      <c r="AD134" t="s">
        <v>568</v>
      </c>
      <c r="AE134" t="s">
        <v>1055</v>
      </c>
      <c r="AF134" t="str">
        <f>IF(AND(HOUR(O134)&gt;=1,HOUR(O134)&lt;=13),VLOOKUP(B134,Programacion!$A$8:$S$1048576,16,FALSE),VLOOKUP(B134,Programacion!$A$8:$S$1048576,18,FALSE))</f>
        <v xml:space="preserve">  2311</v>
      </c>
      <c r="AG134" t="str">
        <f>IF(AND(HOUR(O134)&gt;=1,HOUR(O134)&lt;=13),VLOOKUP(B134,Programacion!$A$8:$S$1048576,17,FALSE),VLOOKUP(B134,Programacion!$A$8:$S$1048576,19,FALSE))</f>
        <v>GB01</v>
      </c>
    </row>
    <row r="135" spans="1:33" x14ac:dyDescent="0.25">
      <c r="A135" s="33" t="s">
        <v>1050</v>
      </c>
      <c r="B135" t="s">
        <v>499</v>
      </c>
      <c r="C135" t="s">
        <v>1051</v>
      </c>
      <c r="D135" t="s">
        <v>557</v>
      </c>
      <c r="E135" t="s">
        <v>558</v>
      </c>
      <c r="F135" t="s">
        <v>1056</v>
      </c>
      <c r="G135" t="s">
        <v>560</v>
      </c>
      <c r="H135" t="s">
        <v>561</v>
      </c>
      <c r="I135" t="s">
        <v>1057</v>
      </c>
      <c r="L135" t="s">
        <v>575</v>
      </c>
      <c r="M135" t="s">
        <v>564</v>
      </c>
      <c r="N135" t="s">
        <v>573</v>
      </c>
      <c r="O135" t="s">
        <v>1058</v>
      </c>
      <c r="P135" t="s">
        <v>605</v>
      </c>
      <c r="Q135" t="s">
        <v>568</v>
      </c>
      <c r="R135" t="s">
        <v>568</v>
      </c>
      <c r="S135" t="s">
        <v>569</v>
      </c>
      <c r="T135" t="s">
        <v>1059</v>
      </c>
      <c r="U135" t="s">
        <v>814</v>
      </c>
      <c r="V135" t="s">
        <v>1060</v>
      </c>
      <c r="W135" t="s">
        <v>586</v>
      </c>
      <c r="X135" t="s">
        <v>564</v>
      </c>
      <c r="Y135" t="s">
        <v>574</v>
      </c>
      <c r="Z135" t="s">
        <v>574</v>
      </c>
      <c r="AA135" t="s">
        <v>565</v>
      </c>
      <c r="AB135" t="s">
        <v>580</v>
      </c>
      <c r="AC135" t="s">
        <v>598</v>
      </c>
      <c r="AD135" t="s">
        <v>589</v>
      </c>
      <c r="AE135" t="s">
        <v>637</v>
      </c>
      <c r="AF135" t="str">
        <f>IF(AND(HOUR(O135)&gt;=1,HOUR(O135)&lt;=13),VLOOKUP(B135,Programacion!$A$8:$S$1048576,16,FALSE),VLOOKUP(B135,Programacion!$A$8:$S$1048576,18,FALSE))</f>
        <v xml:space="preserve">  2311</v>
      </c>
      <c r="AG135" t="str">
        <f>IF(AND(HOUR(O135)&gt;=1,HOUR(O135)&lt;=13),VLOOKUP(B135,Programacion!$A$8:$S$1048576,17,FALSE),VLOOKUP(B135,Programacion!$A$8:$S$1048576,19,FALSE))</f>
        <v>GB01</v>
      </c>
    </row>
    <row r="136" spans="1:33" x14ac:dyDescent="0.25">
      <c r="A136" s="33" t="s">
        <v>1050</v>
      </c>
      <c r="B136" t="s">
        <v>499</v>
      </c>
      <c r="C136" t="s">
        <v>1051</v>
      </c>
      <c r="D136" t="s">
        <v>557</v>
      </c>
      <c r="E136" t="s">
        <v>558</v>
      </c>
      <c r="F136" t="s">
        <v>1056</v>
      </c>
      <c r="G136" t="s">
        <v>560</v>
      </c>
      <c r="H136" t="s">
        <v>561</v>
      </c>
      <c r="I136" t="s">
        <v>1057</v>
      </c>
      <c r="L136" t="s">
        <v>575</v>
      </c>
      <c r="M136" t="s">
        <v>564</v>
      </c>
      <c r="N136" t="s">
        <v>573</v>
      </c>
      <c r="O136" t="s">
        <v>1058</v>
      </c>
      <c r="P136" t="s">
        <v>605</v>
      </c>
      <c r="Q136" t="s">
        <v>568</v>
      </c>
      <c r="R136" t="s">
        <v>568</v>
      </c>
      <c r="S136" t="s">
        <v>569</v>
      </c>
      <c r="T136" t="s">
        <v>1059</v>
      </c>
      <c r="U136" t="s">
        <v>814</v>
      </c>
      <c r="V136" t="s">
        <v>1060</v>
      </c>
      <c r="W136" t="s">
        <v>586</v>
      </c>
      <c r="X136" t="s">
        <v>564</v>
      </c>
      <c r="Y136" t="s">
        <v>574</v>
      </c>
      <c r="Z136" t="s">
        <v>574</v>
      </c>
      <c r="AA136" t="s">
        <v>565</v>
      </c>
      <c r="AB136" t="s">
        <v>580</v>
      </c>
      <c r="AC136" t="s">
        <v>576</v>
      </c>
      <c r="AD136" t="s">
        <v>599</v>
      </c>
      <c r="AE136" t="s">
        <v>618</v>
      </c>
      <c r="AF136" t="str">
        <f>IF(AND(HOUR(O136)&gt;=1,HOUR(O136)&lt;=13),VLOOKUP(B136,Programacion!$A$8:$S$1048576,16,FALSE),VLOOKUP(B136,Programacion!$A$8:$S$1048576,18,FALSE))</f>
        <v xml:space="preserve">  2311</v>
      </c>
      <c r="AG136" t="str">
        <f>IF(AND(HOUR(O136)&gt;=1,HOUR(O136)&lt;=13),VLOOKUP(B136,Programacion!$A$8:$S$1048576,17,FALSE),VLOOKUP(B136,Programacion!$A$8:$S$1048576,19,FALSE))</f>
        <v>GB01</v>
      </c>
    </row>
    <row r="137" spans="1:33" x14ac:dyDescent="0.25">
      <c r="A137" s="33" t="s">
        <v>1050</v>
      </c>
      <c r="B137" t="s">
        <v>499</v>
      </c>
      <c r="C137" t="s">
        <v>1051</v>
      </c>
      <c r="D137" t="s">
        <v>557</v>
      </c>
      <c r="E137" t="s">
        <v>558</v>
      </c>
      <c r="F137" t="s">
        <v>1056</v>
      </c>
      <c r="G137" t="s">
        <v>560</v>
      </c>
      <c r="H137" t="s">
        <v>561</v>
      </c>
      <c r="I137" t="s">
        <v>1057</v>
      </c>
      <c r="L137" t="s">
        <v>575</v>
      </c>
      <c r="M137" t="s">
        <v>564</v>
      </c>
      <c r="N137" t="s">
        <v>573</v>
      </c>
      <c r="O137" t="s">
        <v>1058</v>
      </c>
      <c r="P137" t="s">
        <v>605</v>
      </c>
      <c r="Q137" t="s">
        <v>568</v>
      </c>
      <c r="R137" t="s">
        <v>568</v>
      </c>
      <c r="S137" t="s">
        <v>569</v>
      </c>
      <c r="T137" t="s">
        <v>1059</v>
      </c>
      <c r="U137" t="s">
        <v>814</v>
      </c>
      <c r="V137" t="s">
        <v>1060</v>
      </c>
      <c r="W137" t="s">
        <v>586</v>
      </c>
      <c r="X137" t="s">
        <v>564</v>
      </c>
      <c r="Y137" t="s">
        <v>574</v>
      </c>
      <c r="Z137" t="s">
        <v>574</v>
      </c>
      <c r="AA137" t="s">
        <v>565</v>
      </c>
      <c r="AB137" t="s">
        <v>580</v>
      </c>
      <c r="AC137" t="s">
        <v>588</v>
      </c>
      <c r="AD137" t="s">
        <v>599</v>
      </c>
      <c r="AE137" t="s">
        <v>647</v>
      </c>
      <c r="AF137" t="str">
        <f>IF(AND(HOUR(O137)&gt;=1,HOUR(O137)&lt;=13),VLOOKUP(B137,Programacion!$A$8:$S$1048576,16,FALSE),VLOOKUP(B137,Programacion!$A$8:$S$1048576,18,FALSE))</f>
        <v xml:space="preserve">  2311</v>
      </c>
      <c r="AG137" t="str">
        <f>IF(AND(HOUR(O137)&gt;=1,HOUR(O137)&lt;=13),VLOOKUP(B137,Programacion!$A$8:$S$1048576,17,FALSE),VLOOKUP(B137,Programacion!$A$8:$S$1048576,19,FALSE))</f>
        <v>GB01</v>
      </c>
    </row>
    <row r="138" spans="1:33" x14ac:dyDescent="0.25">
      <c r="A138" s="33" t="s">
        <v>1050</v>
      </c>
      <c r="B138" t="s">
        <v>499</v>
      </c>
      <c r="C138" t="s">
        <v>1051</v>
      </c>
      <c r="D138" t="s">
        <v>557</v>
      </c>
      <c r="E138" t="s">
        <v>558</v>
      </c>
      <c r="F138" t="s">
        <v>1056</v>
      </c>
      <c r="G138" t="s">
        <v>560</v>
      </c>
      <c r="H138" t="s">
        <v>561</v>
      </c>
      <c r="I138" t="s">
        <v>1057</v>
      </c>
      <c r="L138" t="s">
        <v>575</v>
      </c>
      <c r="M138" t="s">
        <v>564</v>
      </c>
      <c r="N138" t="s">
        <v>573</v>
      </c>
      <c r="O138" t="s">
        <v>1058</v>
      </c>
      <c r="P138" t="s">
        <v>605</v>
      </c>
      <c r="Q138" t="s">
        <v>568</v>
      </c>
      <c r="R138" t="s">
        <v>568</v>
      </c>
      <c r="S138" t="s">
        <v>569</v>
      </c>
      <c r="T138" t="s">
        <v>1059</v>
      </c>
      <c r="U138" t="s">
        <v>814</v>
      </c>
      <c r="V138" t="s">
        <v>1060</v>
      </c>
      <c r="W138" t="s">
        <v>586</v>
      </c>
      <c r="X138" t="s">
        <v>564</v>
      </c>
      <c r="Y138" t="s">
        <v>574</v>
      </c>
      <c r="Z138" t="s">
        <v>574</v>
      </c>
      <c r="AA138" t="s">
        <v>565</v>
      </c>
      <c r="AB138" t="s">
        <v>580</v>
      </c>
      <c r="AC138" t="s">
        <v>596</v>
      </c>
      <c r="AD138" t="s">
        <v>599</v>
      </c>
      <c r="AE138" t="s">
        <v>600</v>
      </c>
      <c r="AF138" t="str">
        <f>IF(AND(HOUR(O138)&gt;=1,HOUR(O138)&lt;=13),VLOOKUP(B138,Programacion!$A$8:$S$1048576,16,FALSE),VLOOKUP(B138,Programacion!$A$8:$S$1048576,18,FALSE))</f>
        <v xml:space="preserve">  2311</v>
      </c>
      <c r="AG138" t="str">
        <f>IF(AND(HOUR(O138)&gt;=1,HOUR(O138)&lt;=13),VLOOKUP(B138,Programacion!$A$8:$S$1048576,17,FALSE),VLOOKUP(B138,Programacion!$A$8:$S$1048576,19,FALSE))</f>
        <v>GB01</v>
      </c>
    </row>
    <row r="139" spans="1:33" x14ac:dyDescent="0.25">
      <c r="A139" s="33" t="s">
        <v>1050</v>
      </c>
      <c r="B139" t="s">
        <v>499</v>
      </c>
      <c r="C139" t="s">
        <v>1051</v>
      </c>
      <c r="D139" t="s">
        <v>557</v>
      </c>
      <c r="E139" t="s">
        <v>558</v>
      </c>
      <c r="F139" t="s">
        <v>1061</v>
      </c>
      <c r="G139" t="s">
        <v>560</v>
      </c>
      <c r="H139" t="s">
        <v>561</v>
      </c>
      <c r="I139" t="s">
        <v>1062</v>
      </c>
      <c r="L139" t="s">
        <v>640</v>
      </c>
      <c r="M139" t="s">
        <v>564</v>
      </c>
      <c r="N139" t="s">
        <v>573</v>
      </c>
      <c r="O139" t="s">
        <v>641</v>
      </c>
      <c r="P139" t="s">
        <v>642</v>
      </c>
      <c r="Q139" t="s">
        <v>568</v>
      </c>
      <c r="R139" t="s">
        <v>568</v>
      </c>
      <c r="S139" t="s">
        <v>569</v>
      </c>
      <c r="T139" t="s">
        <v>1063</v>
      </c>
      <c r="U139" t="s">
        <v>584</v>
      </c>
      <c r="V139" t="s">
        <v>1064</v>
      </c>
      <c r="W139" t="s">
        <v>564</v>
      </c>
      <c r="X139" t="s">
        <v>564</v>
      </c>
      <c r="Y139" t="s">
        <v>574</v>
      </c>
      <c r="Z139" t="s">
        <v>574</v>
      </c>
      <c r="AA139" t="s">
        <v>565</v>
      </c>
      <c r="AB139" t="s">
        <v>587</v>
      </c>
      <c r="AC139" t="s">
        <v>596</v>
      </c>
      <c r="AD139" t="s">
        <v>599</v>
      </c>
      <c r="AE139" t="s">
        <v>663</v>
      </c>
      <c r="AF139" t="str">
        <f>IF(AND(HOUR(O139)&gt;=1,HOUR(O139)&lt;=13),VLOOKUP(B139,Programacion!$A$8:$S$1048576,16,FALSE),VLOOKUP(B139,Programacion!$A$8:$S$1048576,18,FALSE))</f>
        <v xml:space="preserve">  2311</v>
      </c>
      <c r="AG139" t="str">
        <f>IF(AND(HOUR(O139)&gt;=1,HOUR(O139)&lt;=13),VLOOKUP(B139,Programacion!$A$8:$S$1048576,17,FALSE),VLOOKUP(B139,Programacion!$A$8:$S$1048576,19,FALSE))</f>
        <v>GB01</v>
      </c>
    </row>
    <row r="140" spans="1:33" x14ac:dyDescent="0.25">
      <c r="A140" s="33" t="s">
        <v>1050</v>
      </c>
      <c r="B140" t="s">
        <v>499</v>
      </c>
      <c r="C140" t="s">
        <v>1051</v>
      </c>
      <c r="D140" t="s">
        <v>557</v>
      </c>
      <c r="E140" t="s">
        <v>558</v>
      </c>
      <c r="F140" t="s">
        <v>1061</v>
      </c>
      <c r="G140" t="s">
        <v>560</v>
      </c>
      <c r="H140" t="s">
        <v>561</v>
      </c>
      <c r="I140" t="s">
        <v>1062</v>
      </c>
      <c r="L140" t="s">
        <v>640</v>
      </c>
      <c r="M140" t="s">
        <v>564</v>
      </c>
      <c r="N140" t="s">
        <v>573</v>
      </c>
      <c r="O140" t="s">
        <v>641</v>
      </c>
      <c r="P140" t="s">
        <v>642</v>
      </c>
      <c r="Q140" t="s">
        <v>568</v>
      </c>
      <c r="R140" t="s">
        <v>568</v>
      </c>
      <c r="S140" t="s">
        <v>569</v>
      </c>
      <c r="T140" t="s">
        <v>667</v>
      </c>
      <c r="U140" t="s">
        <v>718</v>
      </c>
      <c r="V140" t="s">
        <v>1065</v>
      </c>
      <c r="W140" t="s">
        <v>594</v>
      </c>
      <c r="X140" t="s">
        <v>564</v>
      </c>
      <c r="Y140" t="s">
        <v>574</v>
      </c>
      <c r="Z140" t="s">
        <v>574</v>
      </c>
      <c r="AA140" t="s">
        <v>565</v>
      </c>
      <c r="AB140" t="s">
        <v>822</v>
      </c>
      <c r="AC140" t="s">
        <v>588</v>
      </c>
      <c r="AD140" t="s">
        <v>599</v>
      </c>
      <c r="AE140" t="s">
        <v>600</v>
      </c>
      <c r="AF140" t="str">
        <f>IF(AND(HOUR(O140)&gt;=1,HOUR(O140)&lt;=13),VLOOKUP(B140,Programacion!$A$8:$S$1048576,16,FALSE),VLOOKUP(B140,Programacion!$A$8:$S$1048576,18,FALSE))</f>
        <v xml:space="preserve">  2311</v>
      </c>
      <c r="AG140" t="str">
        <f>IF(AND(HOUR(O140)&gt;=1,HOUR(O140)&lt;=13),VLOOKUP(B140,Programacion!$A$8:$S$1048576,17,FALSE),VLOOKUP(B140,Programacion!$A$8:$S$1048576,19,FALSE))</f>
        <v>GB01</v>
      </c>
    </row>
    <row r="141" spans="1:33" x14ac:dyDescent="0.25">
      <c r="A141" s="33" t="s">
        <v>1050</v>
      </c>
      <c r="B141" t="s">
        <v>499</v>
      </c>
      <c r="C141" t="s">
        <v>1051</v>
      </c>
      <c r="D141" t="s">
        <v>557</v>
      </c>
      <c r="E141" t="s">
        <v>558</v>
      </c>
      <c r="F141" t="s">
        <v>1061</v>
      </c>
      <c r="G141" t="s">
        <v>560</v>
      </c>
      <c r="H141" t="s">
        <v>561</v>
      </c>
      <c r="I141" t="s">
        <v>1062</v>
      </c>
      <c r="L141" t="s">
        <v>640</v>
      </c>
      <c r="M141" t="s">
        <v>564</v>
      </c>
      <c r="N141" t="s">
        <v>573</v>
      </c>
      <c r="O141" t="s">
        <v>641</v>
      </c>
      <c r="P141" t="s">
        <v>642</v>
      </c>
      <c r="Q141" t="s">
        <v>568</v>
      </c>
      <c r="R141" t="s">
        <v>568</v>
      </c>
      <c r="S141" t="s">
        <v>569</v>
      </c>
      <c r="T141" t="s">
        <v>667</v>
      </c>
      <c r="U141" t="s">
        <v>718</v>
      </c>
      <c r="V141" t="s">
        <v>1065</v>
      </c>
      <c r="W141" t="s">
        <v>594</v>
      </c>
      <c r="X141" t="s">
        <v>564</v>
      </c>
      <c r="Y141" t="s">
        <v>574</v>
      </c>
      <c r="Z141" t="s">
        <v>574</v>
      </c>
      <c r="AA141" t="s">
        <v>565</v>
      </c>
      <c r="AB141" t="s">
        <v>822</v>
      </c>
      <c r="AC141" t="s">
        <v>596</v>
      </c>
      <c r="AD141" t="s">
        <v>589</v>
      </c>
      <c r="AE141" t="s">
        <v>1066</v>
      </c>
      <c r="AF141" t="str">
        <f>IF(AND(HOUR(O141)&gt;=1,HOUR(O141)&lt;=13),VLOOKUP(B141,Programacion!$A$8:$S$1048576,16,FALSE),VLOOKUP(B141,Programacion!$A$8:$S$1048576,18,FALSE))</f>
        <v xml:space="preserve">  2311</v>
      </c>
      <c r="AG141" t="str">
        <f>IF(AND(HOUR(O141)&gt;=1,HOUR(O141)&lt;=13),VLOOKUP(B141,Programacion!$A$8:$S$1048576,17,FALSE),VLOOKUP(B141,Programacion!$A$8:$S$1048576,19,FALSE))</f>
        <v>GB01</v>
      </c>
    </row>
    <row r="142" spans="1:33" x14ac:dyDescent="0.25">
      <c r="A142" s="33" t="s">
        <v>1050</v>
      </c>
      <c r="B142" t="s">
        <v>499</v>
      </c>
      <c r="C142" t="s">
        <v>1051</v>
      </c>
      <c r="D142" t="s">
        <v>557</v>
      </c>
      <c r="E142" t="s">
        <v>558</v>
      </c>
      <c r="F142" t="s">
        <v>1061</v>
      </c>
      <c r="G142" t="s">
        <v>560</v>
      </c>
      <c r="H142" t="s">
        <v>561</v>
      </c>
      <c r="I142" t="s">
        <v>1062</v>
      </c>
      <c r="L142" t="s">
        <v>640</v>
      </c>
      <c r="M142" t="s">
        <v>564</v>
      </c>
      <c r="N142" t="s">
        <v>573</v>
      </c>
      <c r="O142" t="s">
        <v>641</v>
      </c>
      <c r="P142" t="s">
        <v>642</v>
      </c>
      <c r="Q142" t="s">
        <v>568</v>
      </c>
      <c r="R142" t="s">
        <v>568</v>
      </c>
      <c r="S142" t="s">
        <v>569</v>
      </c>
      <c r="T142" t="s">
        <v>667</v>
      </c>
      <c r="U142" t="s">
        <v>718</v>
      </c>
      <c r="V142" t="s">
        <v>1065</v>
      </c>
      <c r="W142" t="s">
        <v>594</v>
      </c>
      <c r="X142" t="s">
        <v>564</v>
      </c>
      <c r="Y142" t="s">
        <v>574</v>
      </c>
      <c r="Z142" t="s">
        <v>574</v>
      </c>
      <c r="AA142" t="s">
        <v>565</v>
      </c>
      <c r="AB142" t="s">
        <v>822</v>
      </c>
      <c r="AC142" t="s">
        <v>598</v>
      </c>
      <c r="AD142" t="s">
        <v>599</v>
      </c>
      <c r="AE142" t="s">
        <v>651</v>
      </c>
      <c r="AF142" t="str">
        <f>IF(AND(HOUR(O142)&gt;=1,HOUR(O142)&lt;=13),VLOOKUP(B142,Programacion!$A$8:$S$1048576,16,FALSE),VLOOKUP(B142,Programacion!$A$8:$S$1048576,18,FALSE))</f>
        <v xml:space="preserve">  2311</v>
      </c>
      <c r="AG142" t="str">
        <f>IF(AND(HOUR(O142)&gt;=1,HOUR(O142)&lt;=13),VLOOKUP(B142,Programacion!$A$8:$S$1048576,17,FALSE),VLOOKUP(B142,Programacion!$A$8:$S$1048576,19,FALSE))</f>
        <v>GB01</v>
      </c>
    </row>
    <row r="143" spans="1:33" x14ac:dyDescent="0.25">
      <c r="A143" s="33" t="s">
        <v>1050</v>
      </c>
      <c r="B143" t="s">
        <v>499</v>
      </c>
      <c r="C143" t="s">
        <v>1051</v>
      </c>
      <c r="D143" t="s">
        <v>557</v>
      </c>
      <c r="E143" t="s">
        <v>558</v>
      </c>
      <c r="F143" t="s">
        <v>1067</v>
      </c>
      <c r="G143" t="s">
        <v>560</v>
      </c>
      <c r="H143" t="s">
        <v>561</v>
      </c>
      <c r="I143" t="s">
        <v>1068</v>
      </c>
      <c r="L143" t="s">
        <v>603</v>
      </c>
      <c r="M143" t="s">
        <v>564</v>
      </c>
      <c r="N143" t="s">
        <v>573</v>
      </c>
      <c r="O143" t="s">
        <v>604</v>
      </c>
      <c r="P143" t="s">
        <v>716</v>
      </c>
      <c r="Q143" t="s">
        <v>568</v>
      </c>
      <c r="R143" t="s">
        <v>568</v>
      </c>
      <c r="S143" t="s">
        <v>569</v>
      </c>
      <c r="T143" t="s">
        <v>1069</v>
      </c>
      <c r="U143" t="s">
        <v>1070</v>
      </c>
      <c r="V143" t="s">
        <v>1071</v>
      </c>
      <c r="W143" t="s">
        <v>1072</v>
      </c>
      <c r="X143" t="s">
        <v>564</v>
      </c>
      <c r="Y143" t="s">
        <v>574</v>
      </c>
      <c r="Z143" t="s">
        <v>574</v>
      </c>
      <c r="AA143" t="s">
        <v>565</v>
      </c>
      <c r="AB143" t="s">
        <v>1073</v>
      </c>
      <c r="AC143" t="s">
        <v>576</v>
      </c>
      <c r="AD143" t="s">
        <v>599</v>
      </c>
      <c r="AE143" t="s">
        <v>647</v>
      </c>
      <c r="AF143" t="str">
        <f>IF(AND(HOUR(O143)&gt;=1,HOUR(O143)&lt;=13),VLOOKUP(B143,Programacion!$A$8:$S$1048576,16,FALSE),VLOOKUP(B143,Programacion!$A$8:$S$1048576,18,FALSE))</f>
        <v xml:space="preserve">  2189</v>
      </c>
      <c r="AG143" t="str">
        <f>IF(AND(HOUR(O143)&gt;=1,HOUR(O143)&lt;=13),VLOOKUP(B143,Programacion!$A$8:$S$1048576,17,FALSE),VLOOKUP(B143,Programacion!$A$8:$S$1048576,19,FALSE))</f>
        <v>GB01</v>
      </c>
    </row>
    <row r="144" spans="1:33" x14ac:dyDescent="0.25">
      <c r="A144" s="33" t="s">
        <v>1050</v>
      </c>
      <c r="B144" t="s">
        <v>499</v>
      </c>
      <c r="C144" t="s">
        <v>1051</v>
      </c>
      <c r="D144" t="s">
        <v>557</v>
      </c>
      <c r="E144" t="s">
        <v>558</v>
      </c>
      <c r="F144" t="s">
        <v>1067</v>
      </c>
      <c r="G144" t="s">
        <v>560</v>
      </c>
      <c r="H144" t="s">
        <v>561</v>
      </c>
      <c r="I144" t="s">
        <v>1068</v>
      </c>
      <c r="L144" t="s">
        <v>603</v>
      </c>
      <c r="M144" t="s">
        <v>564</v>
      </c>
      <c r="N144" t="s">
        <v>573</v>
      </c>
      <c r="O144" t="s">
        <v>604</v>
      </c>
      <c r="P144" t="s">
        <v>716</v>
      </c>
      <c r="Q144" t="s">
        <v>568</v>
      </c>
      <c r="R144" t="s">
        <v>568</v>
      </c>
      <c r="S144" t="s">
        <v>569</v>
      </c>
      <c r="T144" t="s">
        <v>1069</v>
      </c>
      <c r="U144" t="s">
        <v>1070</v>
      </c>
      <c r="V144" t="s">
        <v>1071</v>
      </c>
      <c r="W144" t="s">
        <v>1072</v>
      </c>
      <c r="X144" t="s">
        <v>564</v>
      </c>
      <c r="Y144" t="s">
        <v>574</v>
      </c>
      <c r="Z144" t="s">
        <v>574</v>
      </c>
      <c r="AA144" t="s">
        <v>565</v>
      </c>
      <c r="AB144" t="s">
        <v>1073</v>
      </c>
      <c r="AC144" t="s">
        <v>596</v>
      </c>
      <c r="AD144" t="s">
        <v>599</v>
      </c>
      <c r="AE144" t="s">
        <v>600</v>
      </c>
      <c r="AF144" t="str">
        <f>IF(AND(HOUR(O144)&gt;=1,HOUR(O144)&lt;=13),VLOOKUP(B144,Programacion!$A$8:$S$1048576,16,FALSE),VLOOKUP(B144,Programacion!$A$8:$S$1048576,18,FALSE))</f>
        <v xml:space="preserve">  2189</v>
      </c>
      <c r="AG144" t="str">
        <f>IF(AND(HOUR(O144)&gt;=1,HOUR(O144)&lt;=13),VLOOKUP(B144,Programacion!$A$8:$S$1048576,17,FALSE),VLOOKUP(B144,Programacion!$A$8:$S$1048576,19,FALSE))</f>
        <v>GB01</v>
      </c>
    </row>
    <row r="145" spans="1:33" x14ac:dyDescent="0.25">
      <c r="A145" s="33" t="s">
        <v>1050</v>
      </c>
      <c r="B145" t="s">
        <v>499</v>
      </c>
      <c r="C145" t="s">
        <v>1051</v>
      </c>
      <c r="D145" t="s">
        <v>557</v>
      </c>
      <c r="E145" t="s">
        <v>558</v>
      </c>
      <c r="F145" t="s">
        <v>1067</v>
      </c>
      <c r="G145" t="s">
        <v>560</v>
      </c>
      <c r="H145" t="s">
        <v>561</v>
      </c>
      <c r="I145" t="s">
        <v>1068</v>
      </c>
      <c r="L145" t="s">
        <v>603</v>
      </c>
      <c r="M145" t="s">
        <v>564</v>
      </c>
      <c r="N145" t="s">
        <v>573</v>
      </c>
      <c r="O145" t="s">
        <v>604</v>
      </c>
      <c r="P145" t="s">
        <v>716</v>
      </c>
      <c r="Q145" t="s">
        <v>568</v>
      </c>
      <c r="R145" t="s">
        <v>568</v>
      </c>
      <c r="S145" t="s">
        <v>569</v>
      </c>
      <c r="T145" t="s">
        <v>1069</v>
      </c>
      <c r="U145" t="s">
        <v>1070</v>
      </c>
      <c r="V145" t="s">
        <v>1071</v>
      </c>
      <c r="W145" t="s">
        <v>1072</v>
      </c>
      <c r="X145" t="s">
        <v>564</v>
      </c>
      <c r="Y145" t="s">
        <v>574</v>
      </c>
      <c r="Z145" t="s">
        <v>574</v>
      </c>
      <c r="AA145" t="s">
        <v>565</v>
      </c>
      <c r="AB145" t="s">
        <v>1073</v>
      </c>
      <c r="AC145" t="s">
        <v>598</v>
      </c>
      <c r="AD145" t="s">
        <v>599</v>
      </c>
      <c r="AE145" t="s">
        <v>618</v>
      </c>
      <c r="AF145" t="str">
        <f>IF(AND(HOUR(O145)&gt;=1,HOUR(O145)&lt;=13),VLOOKUP(B145,Programacion!$A$8:$S$1048576,16,FALSE),VLOOKUP(B145,Programacion!$A$8:$S$1048576,18,FALSE))</f>
        <v xml:space="preserve">  2189</v>
      </c>
      <c r="AG145" t="str">
        <f>IF(AND(HOUR(O145)&gt;=1,HOUR(O145)&lt;=13),VLOOKUP(B145,Programacion!$A$8:$S$1048576,17,FALSE),VLOOKUP(B145,Programacion!$A$8:$S$1048576,19,FALSE))</f>
        <v>GB01</v>
      </c>
    </row>
    <row r="146" spans="1:33" x14ac:dyDescent="0.25">
      <c r="A146" s="33" t="s">
        <v>1050</v>
      </c>
      <c r="B146" t="s">
        <v>499</v>
      </c>
      <c r="C146" t="s">
        <v>1051</v>
      </c>
      <c r="D146" t="s">
        <v>557</v>
      </c>
      <c r="E146" t="s">
        <v>558</v>
      </c>
      <c r="F146" t="s">
        <v>1067</v>
      </c>
      <c r="G146" t="s">
        <v>560</v>
      </c>
      <c r="H146" t="s">
        <v>561</v>
      </c>
      <c r="I146" t="s">
        <v>1068</v>
      </c>
      <c r="L146" t="s">
        <v>603</v>
      </c>
      <c r="M146" t="s">
        <v>564</v>
      </c>
      <c r="N146" t="s">
        <v>573</v>
      </c>
      <c r="O146" t="s">
        <v>604</v>
      </c>
      <c r="P146" t="s">
        <v>716</v>
      </c>
      <c r="Q146" t="s">
        <v>568</v>
      </c>
      <c r="R146" t="s">
        <v>568</v>
      </c>
      <c r="S146" t="s">
        <v>569</v>
      </c>
      <c r="T146" t="s">
        <v>1074</v>
      </c>
      <c r="U146" t="s">
        <v>1075</v>
      </c>
      <c r="V146" t="s">
        <v>1076</v>
      </c>
      <c r="W146" t="s">
        <v>645</v>
      </c>
      <c r="X146" t="s">
        <v>564</v>
      </c>
      <c r="Y146" t="s">
        <v>574</v>
      </c>
      <c r="Z146" t="s">
        <v>574</v>
      </c>
      <c r="AA146" t="s">
        <v>565</v>
      </c>
      <c r="AB146" t="s">
        <v>1077</v>
      </c>
      <c r="AC146" t="s">
        <v>596</v>
      </c>
      <c r="AD146" t="s">
        <v>599</v>
      </c>
      <c r="AE146" t="s">
        <v>651</v>
      </c>
      <c r="AF146" t="str">
        <f>IF(AND(HOUR(O146)&gt;=1,HOUR(O146)&lt;=13),VLOOKUP(B146,Programacion!$A$8:$S$1048576,16,FALSE),VLOOKUP(B146,Programacion!$A$8:$S$1048576,18,FALSE))</f>
        <v xml:space="preserve">  2189</v>
      </c>
      <c r="AG146" t="str">
        <f>IF(AND(HOUR(O146)&gt;=1,HOUR(O146)&lt;=13),VLOOKUP(B146,Programacion!$A$8:$S$1048576,17,FALSE),VLOOKUP(B146,Programacion!$A$8:$S$1048576,19,FALSE))</f>
        <v>GB01</v>
      </c>
    </row>
    <row r="147" spans="1:33" x14ac:dyDescent="0.25">
      <c r="A147" s="33" t="s">
        <v>1050</v>
      </c>
      <c r="B147" t="s">
        <v>499</v>
      </c>
      <c r="C147" t="s">
        <v>1051</v>
      </c>
      <c r="D147" t="s">
        <v>557</v>
      </c>
      <c r="E147" t="s">
        <v>558</v>
      </c>
      <c r="F147" t="s">
        <v>1067</v>
      </c>
      <c r="G147" t="s">
        <v>560</v>
      </c>
      <c r="H147" t="s">
        <v>561</v>
      </c>
      <c r="I147" t="s">
        <v>1068</v>
      </c>
      <c r="L147" t="s">
        <v>603</v>
      </c>
      <c r="M147" t="s">
        <v>564</v>
      </c>
      <c r="N147" t="s">
        <v>573</v>
      </c>
      <c r="O147" t="s">
        <v>604</v>
      </c>
      <c r="P147" t="s">
        <v>716</v>
      </c>
      <c r="Q147" t="s">
        <v>568</v>
      </c>
      <c r="R147" t="s">
        <v>568</v>
      </c>
      <c r="S147" t="s">
        <v>569</v>
      </c>
      <c r="T147" t="s">
        <v>1074</v>
      </c>
      <c r="U147" t="s">
        <v>1075</v>
      </c>
      <c r="V147" t="s">
        <v>1076</v>
      </c>
      <c r="W147" t="s">
        <v>645</v>
      </c>
      <c r="X147" t="s">
        <v>564</v>
      </c>
      <c r="Y147" t="s">
        <v>574</v>
      </c>
      <c r="Z147" t="s">
        <v>574</v>
      </c>
      <c r="AA147" t="s">
        <v>565</v>
      </c>
      <c r="AB147" t="s">
        <v>1077</v>
      </c>
      <c r="AC147" t="s">
        <v>598</v>
      </c>
      <c r="AD147" t="s">
        <v>599</v>
      </c>
      <c r="AE147" t="s">
        <v>663</v>
      </c>
      <c r="AF147" t="str">
        <f>IF(AND(HOUR(O147)&gt;=1,HOUR(O147)&lt;=13),VLOOKUP(B147,Programacion!$A$8:$S$1048576,16,FALSE),VLOOKUP(B147,Programacion!$A$8:$S$1048576,18,FALSE))</f>
        <v xml:space="preserve">  2189</v>
      </c>
      <c r="AG147" t="str">
        <f>IF(AND(HOUR(O147)&gt;=1,HOUR(O147)&lt;=13),VLOOKUP(B147,Programacion!$A$8:$S$1048576,17,FALSE),VLOOKUP(B147,Programacion!$A$8:$S$1048576,19,FALSE))</f>
        <v>GB01</v>
      </c>
    </row>
    <row r="148" spans="1:33" x14ac:dyDescent="0.25">
      <c r="A148" s="33" t="s">
        <v>1050</v>
      </c>
      <c r="B148" t="s">
        <v>499</v>
      </c>
      <c r="C148" t="s">
        <v>1051</v>
      </c>
      <c r="D148" t="s">
        <v>557</v>
      </c>
      <c r="E148" t="s">
        <v>558</v>
      </c>
      <c r="F148" t="s">
        <v>1078</v>
      </c>
      <c r="G148" t="s">
        <v>560</v>
      </c>
      <c r="H148" t="s">
        <v>561</v>
      </c>
      <c r="I148" t="s">
        <v>1079</v>
      </c>
      <c r="L148" t="s">
        <v>901</v>
      </c>
      <c r="M148" t="s">
        <v>564</v>
      </c>
      <c r="N148" t="s">
        <v>573</v>
      </c>
      <c r="O148" t="s">
        <v>1080</v>
      </c>
      <c r="P148" t="s">
        <v>738</v>
      </c>
      <c r="Q148" t="s">
        <v>568</v>
      </c>
      <c r="R148" t="s">
        <v>568</v>
      </c>
      <c r="S148" t="s">
        <v>569</v>
      </c>
      <c r="T148" t="s">
        <v>1081</v>
      </c>
      <c r="U148" t="s">
        <v>1082</v>
      </c>
      <c r="V148" t="s">
        <v>1083</v>
      </c>
      <c r="W148" t="s">
        <v>1072</v>
      </c>
      <c r="X148" t="s">
        <v>564</v>
      </c>
      <c r="Y148" t="s">
        <v>574</v>
      </c>
      <c r="Z148" t="s">
        <v>574</v>
      </c>
      <c r="AA148" t="s">
        <v>565</v>
      </c>
      <c r="AB148" t="s">
        <v>1084</v>
      </c>
      <c r="AC148" t="s">
        <v>596</v>
      </c>
      <c r="AD148" t="s">
        <v>589</v>
      </c>
      <c r="AE148" t="s">
        <v>637</v>
      </c>
      <c r="AF148" t="str">
        <f>IF(AND(HOUR(O148)&gt;=1,HOUR(O148)&lt;=13),VLOOKUP(B148,Programacion!$A$8:$S$1048576,16,FALSE),VLOOKUP(B148,Programacion!$A$8:$S$1048576,18,FALSE))</f>
        <v xml:space="preserve">  2189</v>
      </c>
      <c r="AG148" t="str">
        <f>IF(AND(HOUR(O148)&gt;=1,HOUR(O148)&lt;=13),VLOOKUP(B148,Programacion!$A$8:$S$1048576,17,FALSE),VLOOKUP(B148,Programacion!$A$8:$S$1048576,19,FALSE))</f>
        <v>GB01</v>
      </c>
    </row>
    <row r="149" spans="1:33" x14ac:dyDescent="0.25">
      <c r="A149" s="33" t="s">
        <v>1050</v>
      </c>
      <c r="B149" t="s">
        <v>499</v>
      </c>
      <c r="C149" t="s">
        <v>1051</v>
      </c>
      <c r="D149" t="s">
        <v>557</v>
      </c>
      <c r="E149" t="s">
        <v>558</v>
      </c>
      <c r="F149" t="s">
        <v>1078</v>
      </c>
      <c r="G149" t="s">
        <v>560</v>
      </c>
      <c r="H149" t="s">
        <v>561</v>
      </c>
      <c r="I149" t="s">
        <v>1079</v>
      </c>
      <c r="L149" t="s">
        <v>901</v>
      </c>
      <c r="M149" t="s">
        <v>564</v>
      </c>
      <c r="N149" t="s">
        <v>573</v>
      </c>
      <c r="O149" t="s">
        <v>1080</v>
      </c>
      <c r="P149" t="s">
        <v>738</v>
      </c>
      <c r="Q149" t="s">
        <v>568</v>
      </c>
      <c r="R149" t="s">
        <v>568</v>
      </c>
      <c r="S149" t="s">
        <v>569</v>
      </c>
      <c r="T149" t="s">
        <v>1081</v>
      </c>
      <c r="U149" t="s">
        <v>1082</v>
      </c>
      <c r="V149" t="s">
        <v>1083</v>
      </c>
      <c r="W149" t="s">
        <v>1072</v>
      </c>
      <c r="X149" t="s">
        <v>564</v>
      </c>
      <c r="Y149" t="s">
        <v>574</v>
      </c>
      <c r="Z149" t="s">
        <v>574</v>
      </c>
      <c r="AA149" t="s">
        <v>565</v>
      </c>
      <c r="AB149" t="s">
        <v>1084</v>
      </c>
      <c r="AC149" t="s">
        <v>598</v>
      </c>
      <c r="AD149" t="s">
        <v>589</v>
      </c>
      <c r="AE149" t="s">
        <v>1066</v>
      </c>
      <c r="AF149" t="str">
        <f>IF(AND(HOUR(O149)&gt;=1,HOUR(O149)&lt;=13),VLOOKUP(B149,Programacion!$A$8:$S$1048576,16,FALSE),VLOOKUP(B149,Programacion!$A$8:$S$1048576,18,FALSE))</f>
        <v xml:space="preserve">  2189</v>
      </c>
      <c r="AG149" t="str">
        <f>IF(AND(HOUR(O149)&gt;=1,HOUR(O149)&lt;=13),VLOOKUP(B149,Programacion!$A$8:$S$1048576,17,FALSE),VLOOKUP(B149,Programacion!$A$8:$S$1048576,19,FALSE))</f>
        <v>GB01</v>
      </c>
    </row>
    <row r="150" spans="1:33" x14ac:dyDescent="0.25">
      <c r="A150" s="33" t="s">
        <v>1050</v>
      </c>
      <c r="B150" t="s">
        <v>499</v>
      </c>
      <c r="C150" t="s">
        <v>1051</v>
      </c>
      <c r="D150" t="s">
        <v>557</v>
      </c>
      <c r="E150" t="s">
        <v>558</v>
      </c>
      <c r="F150" t="s">
        <v>1078</v>
      </c>
      <c r="G150" t="s">
        <v>560</v>
      </c>
      <c r="H150" t="s">
        <v>561</v>
      </c>
      <c r="I150" t="s">
        <v>1079</v>
      </c>
      <c r="L150" t="s">
        <v>901</v>
      </c>
      <c r="M150" t="s">
        <v>564</v>
      </c>
      <c r="N150" t="s">
        <v>573</v>
      </c>
      <c r="O150" t="s">
        <v>1080</v>
      </c>
      <c r="P150" t="s">
        <v>738</v>
      </c>
      <c r="Q150" t="s">
        <v>568</v>
      </c>
      <c r="R150" t="s">
        <v>568</v>
      </c>
      <c r="S150" t="s">
        <v>569</v>
      </c>
      <c r="T150" t="s">
        <v>1081</v>
      </c>
      <c r="U150" t="s">
        <v>1082</v>
      </c>
      <c r="V150" t="s">
        <v>1083</v>
      </c>
      <c r="W150" t="s">
        <v>1072</v>
      </c>
      <c r="X150" t="s">
        <v>564</v>
      </c>
      <c r="Y150" t="s">
        <v>574</v>
      </c>
      <c r="Z150" t="s">
        <v>574</v>
      </c>
      <c r="AA150" t="s">
        <v>565</v>
      </c>
      <c r="AB150" t="s">
        <v>1084</v>
      </c>
      <c r="AC150" t="s">
        <v>588</v>
      </c>
      <c r="AD150" t="s">
        <v>599</v>
      </c>
      <c r="AE150" t="s">
        <v>600</v>
      </c>
      <c r="AF150" t="str">
        <f>IF(AND(HOUR(O150)&gt;=1,HOUR(O150)&lt;=13),VLOOKUP(B150,Programacion!$A$8:$S$1048576,16,FALSE),VLOOKUP(B150,Programacion!$A$8:$S$1048576,18,FALSE))</f>
        <v xml:space="preserve">  2189</v>
      </c>
      <c r="AG150" t="str">
        <f>IF(AND(HOUR(O150)&gt;=1,HOUR(O150)&lt;=13),VLOOKUP(B150,Programacion!$A$8:$S$1048576,17,FALSE),VLOOKUP(B150,Programacion!$A$8:$S$1048576,19,FALSE))</f>
        <v>GB01</v>
      </c>
    </row>
    <row r="151" spans="1:33" x14ac:dyDescent="0.25">
      <c r="A151" s="33" t="s">
        <v>1085</v>
      </c>
      <c r="B151" t="s">
        <v>519</v>
      </c>
      <c r="C151" t="s">
        <v>1086</v>
      </c>
      <c r="D151" t="s">
        <v>557</v>
      </c>
      <c r="E151" t="s">
        <v>558</v>
      </c>
      <c r="F151" t="s">
        <v>1087</v>
      </c>
      <c r="G151" t="s">
        <v>560</v>
      </c>
      <c r="H151" t="s">
        <v>561</v>
      </c>
      <c r="I151" t="s">
        <v>1088</v>
      </c>
      <c r="L151" t="s">
        <v>737</v>
      </c>
      <c r="M151" t="s">
        <v>564</v>
      </c>
      <c r="N151" t="s">
        <v>573</v>
      </c>
      <c r="O151" t="s">
        <v>609</v>
      </c>
      <c r="P151" t="s">
        <v>1011</v>
      </c>
      <c r="Q151" t="s">
        <v>704</v>
      </c>
      <c r="R151" t="s">
        <v>704</v>
      </c>
      <c r="S151" t="s">
        <v>725</v>
      </c>
      <c r="T151" t="s">
        <v>1089</v>
      </c>
      <c r="U151" t="s">
        <v>976</v>
      </c>
      <c r="V151" t="s">
        <v>1090</v>
      </c>
      <c r="W151" t="s">
        <v>1091</v>
      </c>
      <c r="X151" t="s">
        <v>564</v>
      </c>
      <c r="Y151" t="s">
        <v>574</v>
      </c>
      <c r="Z151" t="s">
        <v>574</v>
      </c>
      <c r="AA151" t="s">
        <v>565</v>
      </c>
      <c r="AB151" t="s">
        <v>1009</v>
      </c>
      <c r="AC151" t="s">
        <v>576</v>
      </c>
      <c r="AD151" t="s">
        <v>922</v>
      </c>
      <c r="AE151" t="s">
        <v>1092</v>
      </c>
      <c r="AF151" t="str">
        <f>IF(AND(HOUR(O151)&gt;=1,HOUR(O151)&lt;=13),VLOOKUP(B151,Programacion!$A$8:$S$1048576,16,FALSE),VLOOKUP(B151,Programacion!$A$8:$S$1048576,18,FALSE))</f>
        <v xml:space="preserve">  1015</v>
      </c>
      <c r="AG151" t="str">
        <f>IF(AND(HOUR(O151)&gt;=1,HOUR(O151)&lt;=13),VLOOKUP(B151,Programacion!$A$8:$S$1048576,17,FALSE),VLOOKUP(B151,Programacion!$A$8:$S$1048576,19,FALSE))</f>
        <v>GB01</v>
      </c>
    </row>
    <row r="152" spans="1:33" x14ac:dyDescent="0.25">
      <c r="A152" s="33" t="s">
        <v>1085</v>
      </c>
      <c r="B152" t="s">
        <v>519</v>
      </c>
      <c r="C152" t="s">
        <v>1086</v>
      </c>
      <c r="D152" t="s">
        <v>557</v>
      </c>
      <c r="E152" t="s">
        <v>558</v>
      </c>
      <c r="F152" t="s">
        <v>1087</v>
      </c>
      <c r="G152" t="s">
        <v>560</v>
      </c>
      <c r="H152" t="s">
        <v>561</v>
      </c>
      <c r="I152" t="s">
        <v>1088</v>
      </c>
      <c r="L152" t="s">
        <v>737</v>
      </c>
      <c r="M152" t="s">
        <v>564</v>
      </c>
      <c r="N152" t="s">
        <v>573</v>
      </c>
      <c r="O152" t="s">
        <v>609</v>
      </c>
      <c r="P152" t="s">
        <v>1011</v>
      </c>
      <c r="Q152" t="s">
        <v>704</v>
      </c>
      <c r="R152" t="s">
        <v>704</v>
      </c>
      <c r="S152" t="s">
        <v>725</v>
      </c>
      <c r="T152" t="s">
        <v>1089</v>
      </c>
      <c r="U152" t="s">
        <v>976</v>
      </c>
      <c r="V152" t="s">
        <v>1090</v>
      </c>
      <c r="W152" t="s">
        <v>1091</v>
      </c>
      <c r="X152" t="s">
        <v>564</v>
      </c>
      <c r="Y152" t="s">
        <v>574</v>
      </c>
      <c r="Z152" t="s">
        <v>574</v>
      </c>
      <c r="AA152" t="s">
        <v>565</v>
      </c>
      <c r="AB152" t="s">
        <v>1009</v>
      </c>
      <c r="AC152" t="s">
        <v>588</v>
      </c>
      <c r="AD152" t="s">
        <v>589</v>
      </c>
      <c r="AE152" t="s">
        <v>756</v>
      </c>
      <c r="AF152" t="str">
        <f>IF(AND(HOUR(O152)&gt;=1,HOUR(O152)&lt;=13),VLOOKUP(B152,Programacion!$A$8:$S$1048576,16,FALSE),VLOOKUP(B152,Programacion!$A$8:$S$1048576,18,FALSE))</f>
        <v xml:space="preserve">  1015</v>
      </c>
      <c r="AG152" t="str">
        <f>IF(AND(HOUR(O152)&gt;=1,HOUR(O152)&lt;=13),VLOOKUP(B152,Programacion!$A$8:$S$1048576,17,FALSE),VLOOKUP(B152,Programacion!$A$8:$S$1048576,19,FALSE))</f>
        <v>GB01</v>
      </c>
    </row>
    <row r="153" spans="1:33" x14ac:dyDescent="0.25">
      <c r="A153" s="33" t="s">
        <v>1085</v>
      </c>
      <c r="B153" t="s">
        <v>519</v>
      </c>
      <c r="C153" t="s">
        <v>1086</v>
      </c>
      <c r="D153" t="s">
        <v>557</v>
      </c>
      <c r="E153" t="s">
        <v>558</v>
      </c>
      <c r="F153" t="s">
        <v>1093</v>
      </c>
      <c r="G153" t="s">
        <v>560</v>
      </c>
      <c r="H153" t="s">
        <v>561</v>
      </c>
      <c r="I153" t="s">
        <v>1094</v>
      </c>
      <c r="L153" t="s">
        <v>901</v>
      </c>
      <c r="M153" t="s">
        <v>564</v>
      </c>
      <c r="N153" t="s">
        <v>573</v>
      </c>
      <c r="O153" t="s">
        <v>1080</v>
      </c>
      <c r="P153" t="s">
        <v>703</v>
      </c>
      <c r="Q153" t="s">
        <v>704</v>
      </c>
      <c r="R153" t="s">
        <v>704</v>
      </c>
      <c r="S153" t="s">
        <v>725</v>
      </c>
      <c r="T153" t="s">
        <v>1095</v>
      </c>
      <c r="U153" t="s">
        <v>690</v>
      </c>
      <c r="V153" t="s">
        <v>1096</v>
      </c>
      <c r="W153" t="s">
        <v>564</v>
      </c>
      <c r="X153" t="s">
        <v>564</v>
      </c>
      <c r="Y153" t="s">
        <v>574</v>
      </c>
      <c r="Z153" t="s">
        <v>574</v>
      </c>
      <c r="AA153" t="s">
        <v>565</v>
      </c>
      <c r="AB153" t="s">
        <v>890</v>
      </c>
      <c r="AC153" t="s">
        <v>598</v>
      </c>
      <c r="AD153" t="s">
        <v>599</v>
      </c>
      <c r="AE153" t="s">
        <v>600</v>
      </c>
      <c r="AF153" t="str">
        <f>IF(AND(HOUR(O153)&gt;=1,HOUR(O153)&lt;=13),VLOOKUP(B153,Programacion!$A$8:$S$1048576,16,FALSE),VLOOKUP(B153,Programacion!$A$8:$S$1048576,18,FALSE))</f>
        <v xml:space="preserve">  1015</v>
      </c>
      <c r="AG153" t="str">
        <f>IF(AND(HOUR(O153)&gt;=1,HOUR(O153)&lt;=13),VLOOKUP(B153,Programacion!$A$8:$S$1048576,17,FALSE),VLOOKUP(B153,Programacion!$A$8:$S$1048576,19,FALSE))</f>
        <v>GB01</v>
      </c>
    </row>
    <row r="154" spans="1:33" x14ac:dyDescent="0.25">
      <c r="A154" s="33" t="s">
        <v>1085</v>
      </c>
      <c r="B154" t="s">
        <v>519</v>
      </c>
      <c r="C154" t="s">
        <v>1086</v>
      </c>
      <c r="D154" t="s">
        <v>557</v>
      </c>
      <c r="E154" t="s">
        <v>558</v>
      </c>
      <c r="F154" t="s">
        <v>1093</v>
      </c>
      <c r="G154" t="s">
        <v>560</v>
      </c>
      <c r="H154" t="s">
        <v>561</v>
      </c>
      <c r="I154" t="s">
        <v>1094</v>
      </c>
      <c r="L154" t="s">
        <v>901</v>
      </c>
      <c r="M154" t="s">
        <v>564</v>
      </c>
      <c r="N154" t="s">
        <v>573</v>
      </c>
      <c r="O154" t="s">
        <v>1080</v>
      </c>
      <c r="P154" t="s">
        <v>703</v>
      </c>
      <c r="Q154" t="s">
        <v>704</v>
      </c>
      <c r="R154" t="s">
        <v>704</v>
      </c>
      <c r="S154" t="s">
        <v>725</v>
      </c>
      <c r="T154" t="s">
        <v>1095</v>
      </c>
      <c r="U154" t="s">
        <v>690</v>
      </c>
      <c r="V154" t="s">
        <v>1096</v>
      </c>
      <c r="W154" t="s">
        <v>564</v>
      </c>
      <c r="X154" t="s">
        <v>564</v>
      </c>
      <c r="Y154" t="s">
        <v>574</v>
      </c>
      <c r="Z154" t="s">
        <v>574</v>
      </c>
      <c r="AA154" t="s">
        <v>565</v>
      </c>
      <c r="AB154" t="s">
        <v>890</v>
      </c>
      <c r="AC154" t="s">
        <v>596</v>
      </c>
      <c r="AD154" t="s">
        <v>781</v>
      </c>
      <c r="AE154" t="s">
        <v>646</v>
      </c>
      <c r="AF154" t="str">
        <f>IF(AND(HOUR(O154)&gt;=1,HOUR(O154)&lt;=13),VLOOKUP(B154,Programacion!$A$8:$S$1048576,16,FALSE),VLOOKUP(B154,Programacion!$A$8:$S$1048576,18,FALSE))</f>
        <v xml:space="preserve">  1015</v>
      </c>
      <c r="AG154" t="str">
        <f>IF(AND(HOUR(O154)&gt;=1,HOUR(O154)&lt;=13),VLOOKUP(B154,Programacion!$A$8:$S$1048576,17,FALSE),VLOOKUP(B154,Programacion!$A$8:$S$1048576,19,FALSE))</f>
        <v>GB01</v>
      </c>
    </row>
    <row r="155" spans="1:33" x14ac:dyDescent="0.25">
      <c r="A155" s="33" t="s">
        <v>1085</v>
      </c>
      <c r="B155" t="s">
        <v>519</v>
      </c>
      <c r="C155" t="s">
        <v>1086</v>
      </c>
      <c r="D155" t="s">
        <v>557</v>
      </c>
      <c r="E155" t="s">
        <v>558</v>
      </c>
      <c r="F155" t="s">
        <v>1093</v>
      </c>
      <c r="G155" t="s">
        <v>560</v>
      </c>
      <c r="H155" t="s">
        <v>561</v>
      </c>
      <c r="I155" t="s">
        <v>1094</v>
      </c>
      <c r="L155" t="s">
        <v>901</v>
      </c>
      <c r="M155" t="s">
        <v>564</v>
      </c>
      <c r="N155" t="s">
        <v>573</v>
      </c>
      <c r="O155" t="s">
        <v>1080</v>
      </c>
      <c r="P155" t="s">
        <v>703</v>
      </c>
      <c r="Q155" t="s">
        <v>704</v>
      </c>
      <c r="R155" t="s">
        <v>704</v>
      </c>
      <c r="S155" t="s">
        <v>725</v>
      </c>
      <c r="T155" t="s">
        <v>1097</v>
      </c>
      <c r="U155" t="s">
        <v>1098</v>
      </c>
      <c r="V155" t="s">
        <v>1099</v>
      </c>
      <c r="W155" t="s">
        <v>828</v>
      </c>
      <c r="X155" t="s">
        <v>564</v>
      </c>
      <c r="Y155" t="s">
        <v>574</v>
      </c>
      <c r="Z155" t="s">
        <v>574</v>
      </c>
      <c r="AA155" t="s">
        <v>565</v>
      </c>
      <c r="AB155" t="s">
        <v>1100</v>
      </c>
      <c r="AC155" t="s">
        <v>596</v>
      </c>
      <c r="AD155" t="s">
        <v>599</v>
      </c>
      <c r="AE155" t="s">
        <v>651</v>
      </c>
      <c r="AF155" t="str">
        <f>IF(AND(HOUR(O155)&gt;=1,HOUR(O155)&lt;=13),VLOOKUP(B155,Programacion!$A$8:$S$1048576,16,FALSE),VLOOKUP(B155,Programacion!$A$8:$S$1048576,18,FALSE))</f>
        <v xml:space="preserve">  1015</v>
      </c>
      <c r="AG155" t="str">
        <f>IF(AND(HOUR(O155)&gt;=1,HOUR(O155)&lt;=13),VLOOKUP(B155,Programacion!$A$8:$S$1048576,17,FALSE),VLOOKUP(B155,Programacion!$A$8:$S$1048576,19,FALSE))</f>
        <v>GB01</v>
      </c>
    </row>
    <row r="156" spans="1:33" x14ac:dyDescent="0.25">
      <c r="A156" s="33" t="s">
        <v>1085</v>
      </c>
      <c r="B156" t="s">
        <v>519</v>
      </c>
      <c r="C156" t="s">
        <v>1086</v>
      </c>
      <c r="D156" t="s">
        <v>557</v>
      </c>
      <c r="E156" t="s">
        <v>558</v>
      </c>
      <c r="F156" t="s">
        <v>1093</v>
      </c>
      <c r="G156" t="s">
        <v>560</v>
      </c>
      <c r="H156" t="s">
        <v>561</v>
      </c>
      <c r="I156" t="s">
        <v>1094</v>
      </c>
      <c r="L156" t="s">
        <v>901</v>
      </c>
      <c r="M156" t="s">
        <v>564</v>
      </c>
      <c r="N156" t="s">
        <v>573</v>
      </c>
      <c r="O156" t="s">
        <v>1080</v>
      </c>
      <c r="P156" t="s">
        <v>703</v>
      </c>
      <c r="Q156" t="s">
        <v>704</v>
      </c>
      <c r="R156" t="s">
        <v>704</v>
      </c>
      <c r="S156" t="s">
        <v>725</v>
      </c>
      <c r="T156" t="s">
        <v>1097</v>
      </c>
      <c r="U156" t="s">
        <v>1098</v>
      </c>
      <c r="V156" t="s">
        <v>1099</v>
      </c>
      <c r="W156" t="s">
        <v>828</v>
      </c>
      <c r="X156" t="s">
        <v>564</v>
      </c>
      <c r="Y156" t="s">
        <v>574</v>
      </c>
      <c r="Z156" t="s">
        <v>574</v>
      </c>
      <c r="AA156" t="s">
        <v>565</v>
      </c>
      <c r="AB156" t="s">
        <v>1100</v>
      </c>
      <c r="AC156" t="s">
        <v>588</v>
      </c>
      <c r="AD156" t="s">
        <v>599</v>
      </c>
      <c r="AE156" t="s">
        <v>647</v>
      </c>
      <c r="AF156" t="str">
        <f>IF(AND(HOUR(O156)&gt;=1,HOUR(O156)&lt;=13),VLOOKUP(B156,Programacion!$A$8:$S$1048576,16,FALSE),VLOOKUP(B156,Programacion!$A$8:$S$1048576,18,FALSE))</f>
        <v xml:space="preserve">  1015</v>
      </c>
      <c r="AG156" t="str">
        <f>IF(AND(HOUR(O156)&gt;=1,HOUR(O156)&lt;=13),VLOOKUP(B156,Programacion!$A$8:$S$1048576,17,FALSE),VLOOKUP(B156,Programacion!$A$8:$S$1048576,19,FALSE))</f>
        <v>GB01</v>
      </c>
    </row>
    <row r="157" spans="1:33" x14ac:dyDescent="0.25">
      <c r="A157" s="33" t="s">
        <v>1085</v>
      </c>
      <c r="B157" t="s">
        <v>519</v>
      </c>
      <c r="C157" t="s">
        <v>1086</v>
      </c>
      <c r="D157" t="s">
        <v>557</v>
      </c>
      <c r="E157" t="s">
        <v>558</v>
      </c>
      <c r="F157" t="s">
        <v>1093</v>
      </c>
      <c r="G157" t="s">
        <v>560</v>
      </c>
      <c r="H157" t="s">
        <v>561</v>
      </c>
      <c r="I157" t="s">
        <v>1094</v>
      </c>
      <c r="L157" t="s">
        <v>901</v>
      </c>
      <c r="M157" t="s">
        <v>564</v>
      </c>
      <c r="N157" t="s">
        <v>573</v>
      </c>
      <c r="O157" t="s">
        <v>1080</v>
      </c>
      <c r="P157" t="s">
        <v>703</v>
      </c>
      <c r="Q157" t="s">
        <v>704</v>
      </c>
      <c r="R157" t="s">
        <v>704</v>
      </c>
      <c r="S157" t="s">
        <v>725</v>
      </c>
      <c r="T157" t="s">
        <v>1097</v>
      </c>
      <c r="U157" t="s">
        <v>1098</v>
      </c>
      <c r="V157" t="s">
        <v>1099</v>
      </c>
      <c r="W157" t="s">
        <v>828</v>
      </c>
      <c r="X157" t="s">
        <v>564</v>
      </c>
      <c r="Y157" t="s">
        <v>574</v>
      </c>
      <c r="Z157" t="s">
        <v>574</v>
      </c>
      <c r="AA157" t="s">
        <v>565</v>
      </c>
      <c r="AB157" t="s">
        <v>1100</v>
      </c>
      <c r="AC157" t="s">
        <v>576</v>
      </c>
      <c r="AD157" t="s">
        <v>695</v>
      </c>
      <c r="AE157" t="s">
        <v>696</v>
      </c>
      <c r="AF157" t="str">
        <f>IF(AND(HOUR(O157)&gt;=1,HOUR(O157)&lt;=13),VLOOKUP(B157,Programacion!$A$8:$S$1048576,16,FALSE),VLOOKUP(B157,Programacion!$A$8:$S$1048576,18,FALSE))</f>
        <v xml:space="preserve">  1015</v>
      </c>
      <c r="AG157" t="str">
        <f>IF(AND(HOUR(O157)&gt;=1,HOUR(O157)&lt;=13),VLOOKUP(B157,Programacion!$A$8:$S$1048576,17,FALSE),VLOOKUP(B157,Programacion!$A$8:$S$1048576,19,FALSE))</f>
        <v>GB01</v>
      </c>
    </row>
    <row r="158" spans="1:33" x14ac:dyDescent="0.25">
      <c r="A158" s="33" t="s">
        <v>1101</v>
      </c>
      <c r="B158" t="s">
        <v>518</v>
      </c>
      <c r="C158" t="s">
        <v>1102</v>
      </c>
      <c r="D158" t="s">
        <v>557</v>
      </c>
      <c r="E158" t="s">
        <v>558</v>
      </c>
      <c r="F158" t="s">
        <v>1103</v>
      </c>
      <c r="G158" t="s">
        <v>560</v>
      </c>
      <c r="H158" t="s">
        <v>561</v>
      </c>
      <c r="I158" t="s">
        <v>1104</v>
      </c>
      <c r="L158" t="s">
        <v>737</v>
      </c>
      <c r="M158" t="s">
        <v>564</v>
      </c>
      <c r="N158" t="s">
        <v>573</v>
      </c>
      <c r="O158" t="s">
        <v>609</v>
      </c>
      <c r="P158" t="s">
        <v>716</v>
      </c>
      <c r="Q158" t="s">
        <v>704</v>
      </c>
      <c r="R158" t="s">
        <v>704</v>
      </c>
      <c r="S158" t="s">
        <v>725</v>
      </c>
      <c r="T158" t="s">
        <v>1105</v>
      </c>
      <c r="U158" t="s">
        <v>744</v>
      </c>
      <c r="V158" t="s">
        <v>1106</v>
      </c>
      <c r="W158" t="s">
        <v>779</v>
      </c>
      <c r="X158" t="s">
        <v>564</v>
      </c>
      <c r="Y158" t="s">
        <v>574</v>
      </c>
      <c r="Z158" t="s">
        <v>574</v>
      </c>
      <c r="AA158" t="s">
        <v>565</v>
      </c>
      <c r="AB158" t="s">
        <v>746</v>
      </c>
      <c r="AC158" t="s">
        <v>576</v>
      </c>
      <c r="AD158" t="s">
        <v>599</v>
      </c>
      <c r="AE158" t="s">
        <v>600</v>
      </c>
      <c r="AF158" t="e">
        <f>IF(AND(HOUR(O158)&gt;=1,HOUR(O158)&lt;=13),VLOOKUP(B158,Programacion!$A$8:$S$1048576,16,FALSE),VLOOKUP(B158,Programacion!$A$8:$S$1048576,18,FALSE))</f>
        <v>#N/A</v>
      </c>
      <c r="AG158" t="e">
        <f>IF(AND(HOUR(O158)&gt;=1,HOUR(O158)&lt;=13),VLOOKUP(B158,Programacion!$A$8:$S$1048576,17,FALSE),VLOOKUP(B158,Programacion!$A$8:$S$1048576,19,FALSE))</f>
        <v>#N/A</v>
      </c>
    </row>
    <row r="159" spans="1:33" x14ac:dyDescent="0.25">
      <c r="A159" s="33" t="s">
        <v>1101</v>
      </c>
      <c r="B159" t="s">
        <v>518</v>
      </c>
      <c r="C159" t="s">
        <v>1102</v>
      </c>
      <c r="D159" t="s">
        <v>557</v>
      </c>
      <c r="E159" t="s">
        <v>558</v>
      </c>
      <c r="F159" t="s">
        <v>1103</v>
      </c>
      <c r="G159" t="s">
        <v>560</v>
      </c>
      <c r="H159" t="s">
        <v>561</v>
      </c>
      <c r="I159" t="s">
        <v>1104</v>
      </c>
      <c r="L159" t="s">
        <v>737</v>
      </c>
      <c r="M159" t="s">
        <v>564</v>
      </c>
      <c r="N159" t="s">
        <v>573</v>
      </c>
      <c r="O159" t="s">
        <v>609</v>
      </c>
      <c r="P159" t="s">
        <v>716</v>
      </c>
      <c r="Q159" t="s">
        <v>704</v>
      </c>
      <c r="R159" t="s">
        <v>704</v>
      </c>
      <c r="S159" t="s">
        <v>725</v>
      </c>
      <c r="T159" t="s">
        <v>1105</v>
      </c>
      <c r="U159" t="s">
        <v>744</v>
      </c>
      <c r="V159" t="s">
        <v>1106</v>
      </c>
      <c r="W159" t="s">
        <v>779</v>
      </c>
      <c r="X159" t="s">
        <v>564</v>
      </c>
      <c r="Y159" t="s">
        <v>574</v>
      </c>
      <c r="Z159" t="s">
        <v>574</v>
      </c>
      <c r="AA159" t="s">
        <v>565</v>
      </c>
      <c r="AB159" t="s">
        <v>746</v>
      </c>
      <c r="AC159" t="s">
        <v>588</v>
      </c>
      <c r="AD159" t="s">
        <v>798</v>
      </c>
      <c r="AE159" t="s">
        <v>618</v>
      </c>
      <c r="AF159" t="e">
        <f>IF(AND(HOUR(O159)&gt;=1,HOUR(O159)&lt;=13),VLOOKUP(B159,Programacion!$A$8:$S$1048576,16,FALSE),VLOOKUP(B159,Programacion!$A$8:$S$1048576,18,FALSE))</f>
        <v>#N/A</v>
      </c>
      <c r="AG159" t="e">
        <f>IF(AND(HOUR(O159)&gt;=1,HOUR(O159)&lt;=13),VLOOKUP(B159,Programacion!$A$8:$S$1048576,17,FALSE),VLOOKUP(B159,Programacion!$A$8:$S$1048576,19,FALSE))</f>
        <v>#N/A</v>
      </c>
    </row>
    <row r="160" spans="1:33" x14ac:dyDescent="0.25">
      <c r="A160" s="33" t="s">
        <v>1101</v>
      </c>
      <c r="B160" t="s">
        <v>518</v>
      </c>
      <c r="C160" t="s">
        <v>1102</v>
      </c>
      <c r="D160" t="s">
        <v>557</v>
      </c>
      <c r="E160" t="s">
        <v>558</v>
      </c>
      <c r="F160" t="s">
        <v>1103</v>
      </c>
      <c r="G160" t="s">
        <v>560</v>
      </c>
      <c r="H160" t="s">
        <v>561</v>
      </c>
      <c r="I160" t="s">
        <v>1104</v>
      </c>
      <c r="L160" t="s">
        <v>737</v>
      </c>
      <c r="M160" t="s">
        <v>564</v>
      </c>
      <c r="N160" t="s">
        <v>573</v>
      </c>
      <c r="O160" t="s">
        <v>609</v>
      </c>
      <c r="P160" t="s">
        <v>716</v>
      </c>
      <c r="Q160" t="s">
        <v>704</v>
      </c>
      <c r="R160" t="s">
        <v>704</v>
      </c>
      <c r="S160" t="s">
        <v>725</v>
      </c>
      <c r="T160" t="s">
        <v>1105</v>
      </c>
      <c r="U160" t="s">
        <v>744</v>
      </c>
      <c r="V160" t="s">
        <v>1106</v>
      </c>
      <c r="W160" t="s">
        <v>779</v>
      </c>
      <c r="X160" t="s">
        <v>564</v>
      </c>
      <c r="Y160" t="s">
        <v>574</v>
      </c>
      <c r="Z160" t="s">
        <v>574</v>
      </c>
      <c r="AA160" t="s">
        <v>565</v>
      </c>
      <c r="AB160" t="s">
        <v>746</v>
      </c>
      <c r="AC160" t="s">
        <v>596</v>
      </c>
      <c r="AD160" t="s">
        <v>1107</v>
      </c>
      <c r="AE160" t="s">
        <v>1108</v>
      </c>
      <c r="AF160" t="e">
        <f>IF(AND(HOUR(O160)&gt;=1,HOUR(O160)&lt;=13),VLOOKUP(B160,Programacion!$A$8:$S$1048576,16,FALSE),VLOOKUP(B160,Programacion!$A$8:$S$1048576,18,FALSE))</f>
        <v>#N/A</v>
      </c>
      <c r="AG160" t="e">
        <f>IF(AND(HOUR(O160)&gt;=1,HOUR(O160)&lt;=13),VLOOKUP(B160,Programacion!$A$8:$S$1048576,17,FALSE),VLOOKUP(B160,Programacion!$A$8:$S$1048576,19,FALSE))</f>
        <v>#N/A</v>
      </c>
    </row>
    <row r="161" spans="1:33" x14ac:dyDescent="0.25">
      <c r="A161" s="33" t="s">
        <v>1101</v>
      </c>
      <c r="B161" t="s">
        <v>518</v>
      </c>
      <c r="C161" t="s">
        <v>1102</v>
      </c>
      <c r="D161" t="s">
        <v>557</v>
      </c>
      <c r="E161" t="s">
        <v>558</v>
      </c>
      <c r="F161" t="s">
        <v>1103</v>
      </c>
      <c r="G161" t="s">
        <v>560</v>
      </c>
      <c r="H161" t="s">
        <v>561</v>
      </c>
      <c r="I161" t="s">
        <v>1104</v>
      </c>
      <c r="L161" t="s">
        <v>737</v>
      </c>
      <c r="M161" t="s">
        <v>564</v>
      </c>
      <c r="N161" t="s">
        <v>573</v>
      </c>
      <c r="O161" t="s">
        <v>609</v>
      </c>
      <c r="P161" t="s">
        <v>716</v>
      </c>
      <c r="Q161" t="s">
        <v>704</v>
      </c>
      <c r="R161" t="s">
        <v>704</v>
      </c>
      <c r="S161" t="s">
        <v>725</v>
      </c>
      <c r="T161" t="s">
        <v>1105</v>
      </c>
      <c r="U161" t="s">
        <v>744</v>
      </c>
      <c r="V161" t="s">
        <v>1106</v>
      </c>
      <c r="W161" t="s">
        <v>779</v>
      </c>
      <c r="X161" t="s">
        <v>564</v>
      </c>
      <c r="Y161" t="s">
        <v>574</v>
      </c>
      <c r="Z161" t="s">
        <v>574</v>
      </c>
      <c r="AA161" t="s">
        <v>565</v>
      </c>
      <c r="AB161" t="s">
        <v>746</v>
      </c>
      <c r="AC161" t="s">
        <v>598</v>
      </c>
      <c r="AD161" t="s">
        <v>599</v>
      </c>
      <c r="AE161" t="s">
        <v>647</v>
      </c>
      <c r="AF161" t="e">
        <f>IF(AND(HOUR(O161)&gt;=1,HOUR(O161)&lt;=13),VLOOKUP(B161,Programacion!$A$8:$S$1048576,16,FALSE),VLOOKUP(B161,Programacion!$A$8:$S$1048576,18,FALSE))</f>
        <v>#N/A</v>
      </c>
      <c r="AG161" t="e">
        <f>IF(AND(HOUR(O161)&gt;=1,HOUR(O161)&lt;=13),VLOOKUP(B161,Programacion!$A$8:$S$1048576,17,FALSE),VLOOKUP(B161,Programacion!$A$8:$S$1048576,19,FALSE))</f>
        <v>#N/A</v>
      </c>
    </row>
    <row r="162" spans="1:33" x14ac:dyDescent="0.25">
      <c r="A162" s="33" t="s">
        <v>1101</v>
      </c>
      <c r="B162" t="s">
        <v>518</v>
      </c>
      <c r="C162" t="s">
        <v>1102</v>
      </c>
      <c r="D162" t="s">
        <v>557</v>
      </c>
      <c r="E162" t="s">
        <v>558</v>
      </c>
      <c r="F162" t="s">
        <v>1109</v>
      </c>
      <c r="G162" t="s">
        <v>560</v>
      </c>
      <c r="H162" t="s">
        <v>561</v>
      </c>
      <c r="I162" t="s">
        <v>1110</v>
      </c>
      <c r="L162" t="s">
        <v>1111</v>
      </c>
      <c r="M162" t="s">
        <v>564</v>
      </c>
      <c r="N162" t="s">
        <v>573</v>
      </c>
      <c r="O162" t="s">
        <v>805</v>
      </c>
      <c r="P162" t="s">
        <v>605</v>
      </c>
      <c r="Q162" t="s">
        <v>704</v>
      </c>
      <c r="R162" t="s">
        <v>704</v>
      </c>
      <c r="S162" t="s">
        <v>725</v>
      </c>
      <c r="T162" t="s">
        <v>1112</v>
      </c>
      <c r="U162" t="s">
        <v>903</v>
      </c>
      <c r="V162" t="s">
        <v>1113</v>
      </c>
      <c r="W162" t="s">
        <v>586</v>
      </c>
      <c r="X162" t="s">
        <v>564</v>
      </c>
      <c r="Y162" t="s">
        <v>574</v>
      </c>
      <c r="Z162" t="s">
        <v>574</v>
      </c>
      <c r="AA162" t="s">
        <v>565</v>
      </c>
      <c r="AB162" t="s">
        <v>905</v>
      </c>
      <c r="AC162" t="s">
        <v>588</v>
      </c>
      <c r="AD162" t="s">
        <v>589</v>
      </c>
      <c r="AE162" t="s">
        <v>960</v>
      </c>
      <c r="AF162" t="e">
        <f>IF(AND(HOUR(O162)&gt;=1,HOUR(O162)&lt;=13),VLOOKUP(B162,Programacion!$A$8:$S$1048576,16,FALSE),VLOOKUP(B162,Programacion!$A$8:$S$1048576,18,FALSE))</f>
        <v>#N/A</v>
      </c>
      <c r="AG162" t="e">
        <f>IF(AND(HOUR(O162)&gt;=1,HOUR(O162)&lt;=13),VLOOKUP(B162,Programacion!$A$8:$S$1048576,17,FALSE),VLOOKUP(B162,Programacion!$A$8:$S$1048576,19,FALSE))</f>
        <v>#N/A</v>
      </c>
    </row>
    <row r="163" spans="1:33" x14ac:dyDescent="0.25">
      <c r="A163" s="33" t="s">
        <v>1101</v>
      </c>
      <c r="B163" t="s">
        <v>518</v>
      </c>
      <c r="C163" t="s">
        <v>1102</v>
      </c>
      <c r="D163" t="s">
        <v>557</v>
      </c>
      <c r="E163" t="s">
        <v>558</v>
      </c>
      <c r="F163" t="s">
        <v>1109</v>
      </c>
      <c r="G163" t="s">
        <v>560</v>
      </c>
      <c r="H163" t="s">
        <v>561</v>
      </c>
      <c r="I163" t="s">
        <v>1110</v>
      </c>
      <c r="L163" t="s">
        <v>1111</v>
      </c>
      <c r="M163" t="s">
        <v>564</v>
      </c>
      <c r="N163" t="s">
        <v>573</v>
      </c>
      <c r="O163" t="s">
        <v>805</v>
      </c>
      <c r="P163" t="s">
        <v>605</v>
      </c>
      <c r="Q163" t="s">
        <v>704</v>
      </c>
      <c r="R163" t="s">
        <v>704</v>
      </c>
      <c r="S163" t="s">
        <v>725</v>
      </c>
      <c r="T163" t="s">
        <v>1112</v>
      </c>
      <c r="U163" t="s">
        <v>903</v>
      </c>
      <c r="V163" t="s">
        <v>1113</v>
      </c>
      <c r="W163" t="s">
        <v>586</v>
      </c>
      <c r="X163" t="s">
        <v>564</v>
      </c>
      <c r="Y163" t="s">
        <v>574</v>
      </c>
      <c r="Z163" t="s">
        <v>574</v>
      </c>
      <c r="AA163" t="s">
        <v>565</v>
      </c>
      <c r="AB163" t="s">
        <v>905</v>
      </c>
      <c r="AC163" t="s">
        <v>596</v>
      </c>
      <c r="AD163" t="s">
        <v>757</v>
      </c>
      <c r="AE163" t="s">
        <v>1114</v>
      </c>
      <c r="AF163" t="e">
        <f>IF(AND(HOUR(O163)&gt;=1,HOUR(O163)&lt;=13),VLOOKUP(B163,Programacion!$A$8:$S$1048576,16,FALSE),VLOOKUP(B163,Programacion!$A$8:$S$1048576,18,FALSE))</f>
        <v>#N/A</v>
      </c>
      <c r="AG163" t="e">
        <f>IF(AND(HOUR(O163)&gt;=1,HOUR(O163)&lt;=13),VLOOKUP(B163,Programacion!$A$8:$S$1048576,17,FALSE),VLOOKUP(B163,Programacion!$A$8:$S$1048576,19,FALSE))</f>
        <v>#N/A</v>
      </c>
    </row>
    <row r="164" spans="1:33" x14ac:dyDescent="0.25">
      <c r="A164" s="33" t="s">
        <v>1101</v>
      </c>
      <c r="B164" t="s">
        <v>518</v>
      </c>
      <c r="C164" t="s">
        <v>1102</v>
      </c>
      <c r="D164" t="s">
        <v>557</v>
      </c>
      <c r="E164" t="s">
        <v>558</v>
      </c>
      <c r="F164" t="s">
        <v>1109</v>
      </c>
      <c r="G164" t="s">
        <v>560</v>
      </c>
      <c r="H164" t="s">
        <v>561</v>
      </c>
      <c r="I164" t="s">
        <v>1110</v>
      </c>
      <c r="L164" t="s">
        <v>1111</v>
      </c>
      <c r="M164" t="s">
        <v>564</v>
      </c>
      <c r="N164" t="s">
        <v>573</v>
      </c>
      <c r="O164" t="s">
        <v>805</v>
      </c>
      <c r="P164" t="s">
        <v>605</v>
      </c>
      <c r="Q164" t="s">
        <v>704</v>
      </c>
      <c r="R164" t="s">
        <v>704</v>
      </c>
      <c r="S164" t="s">
        <v>725</v>
      </c>
      <c r="T164" t="s">
        <v>1112</v>
      </c>
      <c r="U164" t="s">
        <v>903</v>
      </c>
      <c r="V164" t="s">
        <v>1113</v>
      </c>
      <c r="W164" t="s">
        <v>586</v>
      </c>
      <c r="X164" t="s">
        <v>564</v>
      </c>
      <c r="Y164" t="s">
        <v>574</v>
      </c>
      <c r="Z164" t="s">
        <v>574</v>
      </c>
      <c r="AA164" t="s">
        <v>565</v>
      </c>
      <c r="AB164" t="s">
        <v>905</v>
      </c>
      <c r="AC164" t="s">
        <v>576</v>
      </c>
      <c r="AD164" t="s">
        <v>798</v>
      </c>
      <c r="AE164" t="s">
        <v>618</v>
      </c>
      <c r="AF164" t="e">
        <f>IF(AND(HOUR(O164)&gt;=1,HOUR(O164)&lt;=13),VLOOKUP(B164,Programacion!$A$8:$S$1048576,16,FALSE),VLOOKUP(B164,Programacion!$A$8:$S$1048576,18,FALSE))</f>
        <v>#N/A</v>
      </c>
      <c r="AG164" t="e">
        <f>IF(AND(HOUR(O164)&gt;=1,HOUR(O164)&lt;=13),VLOOKUP(B164,Programacion!$A$8:$S$1048576,17,FALSE),VLOOKUP(B164,Programacion!$A$8:$S$1048576,19,FALSE))</f>
        <v>#N/A</v>
      </c>
    </row>
    <row r="165" spans="1:33" x14ac:dyDescent="0.25">
      <c r="A165" s="33" t="s">
        <v>1101</v>
      </c>
      <c r="B165" t="s">
        <v>518</v>
      </c>
      <c r="C165" t="s">
        <v>1102</v>
      </c>
      <c r="D165" t="s">
        <v>557</v>
      </c>
      <c r="E165" t="s">
        <v>558</v>
      </c>
      <c r="F165" t="s">
        <v>1109</v>
      </c>
      <c r="G165" t="s">
        <v>560</v>
      </c>
      <c r="H165" t="s">
        <v>561</v>
      </c>
      <c r="I165" t="s">
        <v>1110</v>
      </c>
      <c r="L165" t="s">
        <v>1111</v>
      </c>
      <c r="M165" t="s">
        <v>564</v>
      </c>
      <c r="N165" t="s">
        <v>573</v>
      </c>
      <c r="O165" t="s">
        <v>805</v>
      </c>
      <c r="P165" t="s">
        <v>605</v>
      </c>
      <c r="Q165" t="s">
        <v>704</v>
      </c>
      <c r="R165" t="s">
        <v>704</v>
      </c>
      <c r="S165" t="s">
        <v>725</v>
      </c>
      <c r="T165" t="s">
        <v>1112</v>
      </c>
      <c r="U165" t="s">
        <v>903</v>
      </c>
      <c r="V165" t="s">
        <v>1113</v>
      </c>
      <c r="W165" t="s">
        <v>586</v>
      </c>
      <c r="X165" t="s">
        <v>564</v>
      </c>
      <c r="Y165" t="s">
        <v>574</v>
      </c>
      <c r="Z165" t="s">
        <v>574</v>
      </c>
      <c r="AA165" t="s">
        <v>565</v>
      </c>
      <c r="AB165" t="s">
        <v>905</v>
      </c>
      <c r="AC165" t="s">
        <v>598</v>
      </c>
      <c r="AD165" t="s">
        <v>695</v>
      </c>
      <c r="AE165" t="s">
        <v>696</v>
      </c>
      <c r="AF165" t="e">
        <f>IF(AND(HOUR(O165)&gt;=1,HOUR(O165)&lt;=13),VLOOKUP(B165,Programacion!$A$8:$S$1048576,16,FALSE),VLOOKUP(B165,Programacion!$A$8:$S$1048576,18,FALSE))</f>
        <v>#N/A</v>
      </c>
      <c r="AG165" t="e">
        <f>IF(AND(HOUR(O165)&gt;=1,HOUR(O165)&lt;=13),VLOOKUP(B165,Programacion!$A$8:$S$1048576,17,FALSE),VLOOKUP(B165,Programacion!$A$8:$S$1048576,19,FALSE))</f>
        <v>#N/A</v>
      </c>
    </row>
    <row r="166" spans="1:33" x14ac:dyDescent="0.25">
      <c r="A166" s="33" t="s">
        <v>159</v>
      </c>
      <c r="B166" t="s">
        <v>515</v>
      </c>
      <c r="C166" t="s">
        <v>1115</v>
      </c>
      <c r="D166" t="s">
        <v>557</v>
      </c>
      <c r="E166" t="s">
        <v>558</v>
      </c>
      <c r="F166" t="s">
        <v>1116</v>
      </c>
      <c r="G166" t="s">
        <v>560</v>
      </c>
      <c r="H166" t="s">
        <v>561</v>
      </c>
      <c r="I166" t="s">
        <v>1117</v>
      </c>
      <c r="L166" t="s">
        <v>563</v>
      </c>
      <c r="M166" t="s">
        <v>564</v>
      </c>
      <c r="N166" t="s">
        <v>573</v>
      </c>
      <c r="O166" t="s">
        <v>627</v>
      </c>
      <c r="P166" t="s">
        <v>642</v>
      </c>
      <c r="Q166" t="s">
        <v>568</v>
      </c>
      <c r="R166" t="s">
        <v>568</v>
      </c>
      <c r="S166" t="s">
        <v>569</v>
      </c>
      <c r="T166" t="s">
        <v>1118</v>
      </c>
      <c r="U166" t="s">
        <v>1119</v>
      </c>
      <c r="V166" t="s">
        <v>1120</v>
      </c>
      <c r="W166" t="s">
        <v>645</v>
      </c>
      <c r="X166" t="s">
        <v>564</v>
      </c>
      <c r="Y166" t="s">
        <v>574</v>
      </c>
      <c r="Z166" t="s">
        <v>574</v>
      </c>
      <c r="AA166" t="s">
        <v>565</v>
      </c>
      <c r="AB166" t="s">
        <v>1058</v>
      </c>
      <c r="AC166" t="s">
        <v>596</v>
      </c>
      <c r="AD166" t="s">
        <v>656</v>
      </c>
      <c r="AE166" t="s">
        <v>1121</v>
      </c>
      <c r="AF166" t="str">
        <f>IF(AND(HOUR(O166)&gt;=1,HOUR(O166)&lt;=13),VLOOKUP(B166,Programacion!$A$8:$S$1048576,16,FALSE),VLOOKUP(B166,Programacion!$A$8:$S$1048576,18,FALSE))</f>
        <v xml:space="preserve">  2006</v>
      </c>
      <c r="AG166" t="str">
        <f>IF(AND(HOUR(O166)&gt;=1,HOUR(O166)&lt;=13),VLOOKUP(B166,Programacion!$A$8:$S$1048576,17,FALSE),VLOOKUP(B166,Programacion!$A$8:$S$1048576,19,FALSE))</f>
        <v>GB01</v>
      </c>
    </row>
    <row r="167" spans="1:33" x14ac:dyDescent="0.25">
      <c r="A167" s="33" t="s">
        <v>159</v>
      </c>
      <c r="B167" t="s">
        <v>515</v>
      </c>
      <c r="C167" t="s">
        <v>1115</v>
      </c>
      <c r="D167" t="s">
        <v>557</v>
      </c>
      <c r="E167" t="s">
        <v>558</v>
      </c>
      <c r="F167" t="s">
        <v>1116</v>
      </c>
      <c r="G167" t="s">
        <v>560</v>
      </c>
      <c r="H167" t="s">
        <v>561</v>
      </c>
      <c r="I167" t="s">
        <v>1117</v>
      </c>
      <c r="L167" t="s">
        <v>563</v>
      </c>
      <c r="M167" t="s">
        <v>564</v>
      </c>
      <c r="N167" t="s">
        <v>573</v>
      </c>
      <c r="O167" t="s">
        <v>627</v>
      </c>
      <c r="P167" t="s">
        <v>642</v>
      </c>
      <c r="Q167" t="s">
        <v>568</v>
      </c>
      <c r="R167" t="s">
        <v>568</v>
      </c>
      <c r="S167" t="s">
        <v>569</v>
      </c>
      <c r="T167" t="s">
        <v>1118</v>
      </c>
      <c r="U167" t="s">
        <v>1119</v>
      </c>
      <c r="V167" t="s">
        <v>1120</v>
      </c>
      <c r="W167" t="s">
        <v>645</v>
      </c>
      <c r="X167" t="s">
        <v>564</v>
      </c>
      <c r="Y167" t="s">
        <v>574</v>
      </c>
      <c r="Z167" t="s">
        <v>574</v>
      </c>
      <c r="AA167" t="s">
        <v>565</v>
      </c>
      <c r="AB167" t="s">
        <v>1058</v>
      </c>
      <c r="AC167" t="s">
        <v>576</v>
      </c>
      <c r="AD167" t="s">
        <v>599</v>
      </c>
      <c r="AE167" t="s">
        <v>651</v>
      </c>
      <c r="AF167" t="str">
        <f>IF(AND(HOUR(O167)&gt;=1,HOUR(O167)&lt;=13),VLOOKUP(B167,Programacion!$A$8:$S$1048576,16,FALSE),VLOOKUP(B167,Programacion!$A$8:$S$1048576,18,FALSE))</f>
        <v xml:space="preserve">  2006</v>
      </c>
      <c r="AG167" t="str">
        <f>IF(AND(HOUR(O167)&gt;=1,HOUR(O167)&lt;=13),VLOOKUP(B167,Programacion!$A$8:$S$1048576,17,FALSE),VLOOKUP(B167,Programacion!$A$8:$S$1048576,19,FALSE))</f>
        <v>GB01</v>
      </c>
    </row>
    <row r="168" spans="1:33" x14ac:dyDescent="0.25">
      <c r="A168" s="33" t="s">
        <v>159</v>
      </c>
      <c r="B168" t="s">
        <v>515</v>
      </c>
      <c r="C168" t="s">
        <v>1115</v>
      </c>
      <c r="D168" t="s">
        <v>557</v>
      </c>
      <c r="E168" t="s">
        <v>558</v>
      </c>
      <c r="F168" t="s">
        <v>1116</v>
      </c>
      <c r="G168" t="s">
        <v>560</v>
      </c>
      <c r="H168" t="s">
        <v>561</v>
      </c>
      <c r="I168" t="s">
        <v>1117</v>
      </c>
      <c r="L168" t="s">
        <v>563</v>
      </c>
      <c r="M168" t="s">
        <v>564</v>
      </c>
      <c r="N168" t="s">
        <v>573</v>
      </c>
      <c r="O168" t="s">
        <v>627</v>
      </c>
      <c r="P168" t="s">
        <v>642</v>
      </c>
      <c r="Q168" t="s">
        <v>568</v>
      </c>
      <c r="R168" t="s">
        <v>568</v>
      </c>
      <c r="S168" t="s">
        <v>569</v>
      </c>
      <c r="T168" t="s">
        <v>1118</v>
      </c>
      <c r="U168" t="s">
        <v>1119</v>
      </c>
      <c r="V168" t="s">
        <v>1120</v>
      </c>
      <c r="W168" t="s">
        <v>645</v>
      </c>
      <c r="X168" t="s">
        <v>564</v>
      </c>
      <c r="Y168" t="s">
        <v>574</v>
      </c>
      <c r="Z168" t="s">
        <v>574</v>
      </c>
      <c r="AA168" t="s">
        <v>565</v>
      </c>
      <c r="AB168" t="s">
        <v>1058</v>
      </c>
      <c r="AC168" t="s">
        <v>598</v>
      </c>
      <c r="AD168" t="s">
        <v>599</v>
      </c>
      <c r="AE168" t="s">
        <v>618</v>
      </c>
      <c r="AF168" t="str">
        <f>IF(AND(HOUR(O168)&gt;=1,HOUR(O168)&lt;=13),VLOOKUP(B168,Programacion!$A$8:$S$1048576,16,FALSE),VLOOKUP(B168,Programacion!$A$8:$S$1048576,18,FALSE))</f>
        <v xml:space="preserve">  2006</v>
      </c>
      <c r="AG168" t="str">
        <f>IF(AND(HOUR(O168)&gt;=1,HOUR(O168)&lt;=13),VLOOKUP(B168,Programacion!$A$8:$S$1048576,17,FALSE),VLOOKUP(B168,Programacion!$A$8:$S$1048576,19,FALSE))</f>
        <v>GB01</v>
      </c>
    </row>
    <row r="169" spans="1:33" x14ac:dyDescent="0.25">
      <c r="A169" s="33" t="s">
        <v>159</v>
      </c>
      <c r="B169" t="s">
        <v>515</v>
      </c>
      <c r="C169" t="s">
        <v>1115</v>
      </c>
      <c r="D169" t="s">
        <v>557</v>
      </c>
      <c r="E169" t="s">
        <v>558</v>
      </c>
      <c r="F169" t="s">
        <v>1122</v>
      </c>
      <c r="G169" t="s">
        <v>560</v>
      </c>
      <c r="H169" t="s">
        <v>561</v>
      </c>
      <c r="I169" t="s">
        <v>1123</v>
      </c>
      <c r="L169" t="s">
        <v>1124</v>
      </c>
      <c r="M169" t="s">
        <v>564</v>
      </c>
      <c r="N169" t="s">
        <v>573</v>
      </c>
      <c r="O169" t="s">
        <v>774</v>
      </c>
      <c r="P169" t="s">
        <v>642</v>
      </c>
      <c r="Q169" t="s">
        <v>568</v>
      </c>
      <c r="R169" t="s">
        <v>568</v>
      </c>
      <c r="S169" t="s">
        <v>569</v>
      </c>
      <c r="T169" t="s">
        <v>1125</v>
      </c>
      <c r="U169" t="s">
        <v>970</v>
      </c>
      <c r="V169" t="s">
        <v>1126</v>
      </c>
      <c r="W169" t="s">
        <v>564</v>
      </c>
      <c r="X169" t="s">
        <v>564</v>
      </c>
      <c r="Y169" t="s">
        <v>574</v>
      </c>
      <c r="Z169" t="s">
        <v>574</v>
      </c>
      <c r="AA169" t="s">
        <v>565</v>
      </c>
      <c r="AB169" t="s">
        <v>972</v>
      </c>
      <c r="AC169" t="s">
        <v>576</v>
      </c>
      <c r="AD169" t="s">
        <v>589</v>
      </c>
      <c r="AE169" t="s">
        <v>622</v>
      </c>
      <c r="AF169" t="str">
        <f>IF(AND(HOUR(O169)&gt;=1,HOUR(O169)&lt;=13),VLOOKUP(B169,Programacion!$A$8:$S$1048576,16,FALSE),VLOOKUP(B169,Programacion!$A$8:$S$1048576,18,FALSE))</f>
        <v xml:space="preserve">  2006</v>
      </c>
      <c r="AG169" t="str">
        <f>IF(AND(HOUR(O169)&gt;=1,HOUR(O169)&lt;=13),VLOOKUP(B169,Programacion!$A$8:$S$1048576,17,FALSE),VLOOKUP(B169,Programacion!$A$8:$S$1048576,19,FALSE))</f>
        <v>GB01</v>
      </c>
    </row>
    <row r="170" spans="1:33" x14ac:dyDescent="0.25">
      <c r="A170" s="33" t="s">
        <v>159</v>
      </c>
      <c r="B170" t="s">
        <v>515</v>
      </c>
      <c r="C170" t="s">
        <v>1115</v>
      </c>
      <c r="D170" t="s">
        <v>557</v>
      </c>
      <c r="E170" t="s">
        <v>558</v>
      </c>
      <c r="F170" t="s">
        <v>1122</v>
      </c>
      <c r="G170" t="s">
        <v>560</v>
      </c>
      <c r="H170" t="s">
        <v>561</v>
      </c>
      <c r="I170" t="s">
        <v>1123</v>
      </c>
      <c r="L170" t="s">
        <v>1124</v>
      </c>
      <c r="M170" t="s">
        <v>564</v>
      </c>
      <c r="N170" t="s">
        <v>573</v>
      </c>
      <c r="O170" t="s">
        <v>774</v>
      </c>
      <c r="P170" t="s">
        <v>642</v>
      </c>
      <c r="Q170" t="s">
        <v>568</v>
      </c>
      <c r="R170" t="s">
        <v>568</v>
      </c>
      <c r="S170" t="s">
        <v>569</v>
      </c>
      <c r="T170" t="s">
        <v>1127</v>
      </c>
      <c r="U170" t="s">
        <v>592</v>
      </c>
      <c r="V170" t="s">
        <v>1128</v>
      </c>
      <c r="W170" t="s">
        <v>709</v>
      </c>
      <c r="X170" t="s">
        <v>564</v>
      </c>
      <c r="Y170" t="s">
        <v>574</v>
      </c>
      <c r="Z170" t="s">
        <v>574</v>
      </c>
      <c r="AA170" t="s">
        <v>565</v>
      </c>
      <c r="AB170" t="s">
        <v>595</v>
      </c>
      <c r="AC170" t="s">
        <v>576</v>
      </c>
      <c r="AD170" t="s">
        <v>599</v>
      </c>
      <c r="AE170" t="s">
        <v>663</v>
      </c>
      <c r="AF170" t="str">
        <f>IF(AND(HOUR(O170)&gt;=1,HOUR(O170)&lt;=13),VLOOKUP(B170,Programacion!$A$8:$S$1048576,16,FALSE),VLOOKUP(B170,Programacion!$A$8:$S$1048576,18,FALSE))</f>
        <v xml:space="preserve">  2006</v>
      </c>
      <c r="AG170" t="str">
        <f>IF(AND(HOUR(O170)&gt;=1,HOUR(O170)&lt;=13),VLOOKUP(B170,Programacion!$A$8:$S$1048576,17,FALSE),VLOOKUP(B170,Programacion!$A$8:$S$1048576,19,FALSE))</f>
        <v>GB01</v>
      </c>
    </row>
    <row r="171" spans="1:33" x14ac:dyDescent="0.25">
      <c r="A171" s="33" t="s">
        <v>159</v>
      </c>
      <c r="B171" t="s">
        <v>515</v>
      </c>
      <c r="C171" t="s">
        <v>1115</v>
      </c>
      <c r="D171" t="s">
        <v>557</v>
      </c>
      <c r="E171" t="s">
        <v>558</v>
      </c>
      <c r="F171" t="s">
        <v>1122</v>
      </c>
      <c r="G171" t="s">
        <v>560</v>
      </c>
      <c r="H171" t="s">
        <v>561</v>
      </c>
      <c r="I171" t="s">
        <v>1123</v>
      </c>
      <c r="L171" t="s">
        <v>1124</v>
      </c>
      <c r="M171" t="s">
        <v>564</v>
      </c>
      <c r="N171" t="s">
        <v>573</v>
      </c>
      <c r="O171" t="s">
        <v>774</v>
      </c>
      <c r="P171" t="s">
        <v>642</v>
      </c>
      <c r="Q171" t="s">
        <v>568</v>
      </c>
      <c r="R171" t="s">
        <v>568</v>
      </c>
      <c r="S171" t="s">
        <v>569</v>
      </c>
      <c r="T171" t="s">
        <v>1127</v>
      </c>
      <c r="U171" t="s">
        <v>592</v>
      </c>
      <c r="V171" t="s">
        <v>1128</v>
      </c>
      <c r="W171" t="s">
        <v>709</v>
      </c>
      <c r="X171" t="s">
        <v>564</v>
      </c>
      <c r="Y171" t="s">
        <v>574</v>
      </c>
      <c r="Z171" t="s">
        <v>574</v>
      </c>
      <c r="AA171" t="s">
        <v>565</v>
      </c>
      <c r="AB171" t="s">
        <v>595</v>
      </c>
      <c r="AC171" t="s">
        <v>588</v>
      </c>
      <c r="AD171" t="s">
        <v>599</v>
      </c>
      <c r="AE171" t="s">
        <v>618</v>
      </c>
      <c r="AF171" t="str">
        <f>IF(AND(HOUR(O171)&gt;=1,HOUR(O171)&lt;=13),VLOOKUP(B171,Programacion!$A$8:$S$1048576,16,FALSE),VLOOKUP(B171,Programacion!$A$8:$S$1048576,18,FALSE))</f>
        <v xml:space="preserve">  2006</v>
      </c>
      <c r="AG171" t="str">
        <f>IF(AND(HOUR(O171)&gt;=1,HOUR(O171)&lt;=13),VLOOKUP(B171,Programacion!$A$8:$S$1048576,17,FALSE),VLOOKUP(B171,Programacion!$A$8:$S$1048576,19,FALSE))</f>
        <v>GB01</v>
      </c>
    </row>
    <row r="172" spans="1:33" x14ac:dyDescent="0.25">
      <c r="A172" s="33" t="s">
        <v>159</v>
      </c>
      <c r="B172" t="s">
        <v>515</v>
      </c>
      <c r="C172" t="s">
        <v>1115</v>
      </c>
      <c r="D172" t="s">
        <v>557</v>
      </c>
      <c r="E172" t="s">
        <v>558</v>
      </c>
      <c r="F172" t="s">
        <v>1122</v>
      </c>
      <c r="G172" t="s">
        <v>560</v>
      </c>
      <c r="H172" t="s">
        <v>561</v>
      </c>
      <c r="I172" t="s">
        <v>1123</v>
      </c>
      <c r="L172" t="s">
        <v>1124</v>
      </c>
      <c r="M172" t="s">
        <v>564</v>
      </c>
      <c r="N172" t="s">
        <v>573</v>
      </c>
      <c r="O172" t="s">
        <v>774</v>
      </c>
      <c r="P172" t="s">
        <v>642</v>
      </c>
      <c r="Q172" t="s">
        <v>568</v>
      </c>
      <c r="R172" t="s">
        <v>568</v>
      </c>
      <c r="S172" t="s">
        <v>569</v>
      </c>
      <c r="T172" t="s">
        <v>1127</v>
      </c>
      <c r="U172" t="s">
        <v>592</v>
      </c>
      <c r="V172" t="s">
        <v>1128</v>
      </c>
      <c r="W172" t="s">
        <v>709</v>
      </c>
      <c r="X172" t="s">
        <v>564</v>
      </c>
      <c r="Y172" t="s">
        <v>574</v>
      </c>
      <c r="Z172" t="s">
        <v>574</v>
      </c>
      <c r="AA172" t="s">
        <v>565</v>
      </c>
      <c r="AB172" t="s">
        <v>595</v>
      </c>
      <c r="AC172" t="s">
        <v>596</v>
      </c>
      <c r="AD172" t="s">
        <v>599</v>
      </c>
      <c r="AE172" t="s">
        <v>647</v>
      </c>
      <c r="AF172" t="str">
        <f>IF(AND(HOUR(O172)&gt;=1,HOUR(O172)&lt;=13),VLOOKUP(B172,Programacion!$A$8:$S$1048576,16,FALSE),VLOOKUP(B172,Programacion!$A$8:$S$1048576,18,FALSE))</f>
        <v xml:space="preserve">  2006</v>
      </c>
      <c r="AG172" t="str">
        <f>IF(AND(HOUR(O172)&gt;=1,HOUR(O172)&lt;=13),VLOOKUP(B172,Programacion!$A$8:$S$1048576,17,FALSE),VLOOKUP(B172,Programacion!$A$8:$S$1048576,19,FALSE))</f>
        <v>GB01</v>
      </c>
    </row>
    <row r="173" spans="1:33" x14ac:dyDescent="0.25">
      <c r="A173" s="33" t="s">
        <v>159</v>
      </c>
      <c r="B173" t="s">
        <v>515</v>
      </c>
      <c r="C173" t="s">
        <v>1115</v>
      </c>
      <c r="D173" t="s">
        <v>557</v>
      </c>
      <c r="E173" t="s">
        <v>558</v>
      </c>
      <c r="F173" t="s">
        <v>1129</v>
      </c>
      <c r="G173" t="s">
        <v>560</v>
      </c>
      <c r="H173" t="s">
        <v>561</v>
      </c>
      <c r="I173" t="s">
        <v>1130</v>
      </c>
      <c r="L173" t="s">
        <v>603</v>
      </c>
      <c r="M173" t="s">
        <v>564</v>
      </c>
      <c r="N173" t="s">
        <v>565</v>
      </c>
      <c r="O173" t="s">
        <v>675</v>
      </c>
      <c r="P173" t="s">
        <v>582</v>
      </c>
      <c r="Q173" t="s">
        <v>568</v>
      </c>
      <c r="R173" t="s">
        <v>568</v>
      </c>
      <c r="S173" t="s">
        <v>569</v>
      </c>
      <c r="T173" t="s">
        <v>1131</v>
      </c>
      <c r="U173" t="s">
        <v>1132</v>
      </c>
      <c r="V173" t="s">
        <v>1133</v>
      </c>
      <c r="W173" t="s">
        <v>645</v>
      </c>
      <c r="X173" t="s">
        <v>564</v>
      </c>
      <c r="Y173" t="s">
        <v>574</v>
      </c>
      <c r="Z173" t="s">
        <v>574</v>
      </c>
      <c r="AA173" t="s">
        <v>565</v>
      </c>
      <c r="AB173" t="s">
        <v>1134</v>
      </c>
      <c r="AC173" t="s">
        <v>588</v>
      </c>
      <c r="AD173" t="s">
        <v>568</v>
      </c>
      <c r="AE173" t="s">
        <v>1135</v>
      </c>
      <c r="AF173" t="str">
        <f>IF(AND(HOUR(O173)&gt;=1,HOUR(O173)&lt;=13),VLOOKUP(B173,Programacion!$A$8:$S$1048576,16,FALSE),VLOOKUP(B173,Programacion!$A$8:$S$1048576,18,FALSE))</f>
        <v xml:space="preserve">  2195</v>
      </c>
      <c r="AG173" t="str">
        <f>IF(AND(HOUR(O173)&gt;=1,HOUR(O173)&lt;=13),VLOOKUP(B173,Programacion!$A$8:$S$1048576,17,FALSE),VLOOKUP(B173,Programacion!$A$8:$S$1048576,19,FALSE))</f>
        <v>GB01</v>
      </c>
    </row>
    <row r="174" spans="1:33" x14ac:dyDescent="0.25">
      <c r="A174" s="33" t="s">
        <v>159</v>
      </c>
      <c r="B174" t="s">
        <v>515</v>
      </c>
      <c r="C174" t="s">
        <v>1115</v>
      </c>
      <c r="D174" t="s">
        <v>557</v>
      </c>
      <c r="E174" t="s">
        <v>558</v>
      </c>
      <c r="F174" t="s">
        <v>1136</v>
      </c>
      <c r="G174" t="s">
        <v>560</v>
      </c>
      <c r="H174" t="s">
        <v>561</v>
      </c>
      <c r="I174" t="s">
        <v>1137</v>
      </c>
      <c r="L174" t="s">
        <v>863</v>
      </c>
      <c r="M174" t="s">
        <v>564</v>
      </c>
      <c r="N174" t="s">
        <v>573</v>
      </c>
      <c r="O174" t="s">
        <v>1138</v>
      </c>
      <c r="P174" t="s">
        <v>642</v>
      </c>
      <c r="Q174" t="s">
        <v>568</v>
      </c>
      <c r="R174" t="s">
        <v>568</v>
      </c>
      <c r="S174" t="s">
        <v>569</v>
      </c>
      <c r="T174" t="s">
        <v>1139</v>
      </c>
      <c r="U174" t="s">
        <v>866</v>
      </c>
      <c r="V174" t="s">
        <v>1140</v>
      </c>
      <c r="W174" t="s">
        <v>645</v>
      </c>
      <c r="X174" t="s">
        <v>564</v>
      </c>
      <c r="Y174" t="s">
        <v>574</v>
      </c>
      <c r="Z174" t="s">
        <v>574</v>
      </c>
      <c r="AA174" t="s">
        <v>565</v>
      </c>
      <c r="AB174" t="s">
        <v>868</v>
      </c>
      <c r="AC174" t="s">
        <v>598</v>
      </c>
      <c r="AD174" t="s">
        <v>589</v>
      </c>
      <c r="AE174" t="s">
        <v>748</v>
      </c>
      <c r="AF174" t="str">
        <f>IF(AND(HOUR(O174)&gt;=1,HOUR(O174)&lt;=13),VLOOKUP(B174,Programacion!$A$8:$S$1048576,16,FALSE),VLOOKUP(B174,Programacion!$A$8:$S$1048576,18,FALSE))</f>
        <v xml:space="preserve">  2195</v>
      </c>
      <c r="AG174" t="str">
        <f>IF(AND(HOUR(O174)&gt;=1,HOUR(O174)&lt;=13),VLOOKUP(B174,Programacion!$A$8:$S$1048576,17,FALSE),VLOOKUP(B174,Programacion!$A$8:$S$1048576,19,FALSE))</f>
        <v>GB01</v>
      </c>
    </row>
    <row r="175" spans="1:33" x14ac:dyDescent="0.25">
      <c r="A175" s="33" t="s">
        <v>159</v>
      </c>
      <c r="B175" t="s">
        <v>515</v>
      </c>
      <c r="C175" t="s">
        <v>1115</v>
      </c>
      <c r="D175" t="s">
        <v>557</v>
      </c>
      <c r="E175" t="s">
        <v>558</v>
      </c>
      <c r="F175" t="s">
        <v>1136</v>
      </c>
      <c r="G175" t="s">
        <v>560</v>
      </c>
      <c r="H175" t="s">
        <v>561</v>
      </c>
      <c r="I175" t="s">
        <v>1137</v>
      </c>
      <c r="L175" t="s">
        <v>863</v>
      </c>
      <c r="M175" t="s">
        <v>564</v>
      </c>
      <c r="N175" t="s">
        <v>573</v>
      </c>
      <c r="O175" t="s">
        <v>1138</v>
      </c>
      <c r="P175" t="s">
        <v>642</v>
      </c>
      <c r="Q175" t="s">
        <v>568</v>
      </c>
      <c r="R175" t="s">
        <v>568</v>
      </c>
      <c r="S175" t="s">
        <v>569</v>
      </c>
      <c r="T175" t="s">
        <v>1139</v>
      </c>
      <c r="U175" t="s">
        <v>866</v>
      </c>
      <c r="V175" t="s">
        <v>1140</v>
      </c>
      <c r="W175" t="s">
        <v>645</v>
      </c>
      <c r="X175" t="s">
        <v>564</v>
      </c>
      <c r="Y175" t="s">
        <v>574</v>
      </c>
      <c r="Z175" t="s">
        <v>574</v>
      </c>
      <c r="AA175" t="s">
        <v>565</v>
      </c>
      <c r="AB175" t="s">
        <v>868</v>
      </c>
      <c r="AC175" t="s">
        <v>596</v>
      </c>
      <c r="AD175" t="s">
        <v>589</v>
      </c>
      <c r="AE175" t="s">
        <v>782</v>
      </c>
      <c r="AF175" t="str">
        <f>IF(AND(HOUR(O175)&gt;=1,HOUR(O175)&lt;=13),VLOOKUP(B175,Programacion!$A$8:$S$1048576,16,FALSE),VLOOKUP(B175,Programacion!$A$8:$S$1048576,18,FALSE))</f>
        <v xml:space="preserve">  2195</v>
      </c>
      <c r="AG175" t="str">
        <f>IF(AND(HOUR(O175)&gt;=1,HOUR(O175)&lt;=13),VLOOKUP(B175,Programacion!$A$8:$S$1048576,17,FALSE),VLOOKUP(B175,Programacion!$A$8:$S$1048576,19,FALSE))</f>
        <v>GB01</v>
      </c>
    </row>
    <row r="176" spans="1:33" x14ac:dyDescent="0.25">
      <c r="A176" s="33" t="s">
        <v>159</v>
      </c>
      <c r="B176" t="s">
        <v>515</v>
      </c>
      <c r="C176" t="s">
        <v>1115</v>
      </c>
      <c r="D176" t="s">
        <v>557</v>
      </c>
      <c r="E176" t="s">
        <v>558</v>
      </c>
      <c r="F176" t="s">
        <v>1136</v>
      </c>
      <c r="G176" t="s">
        <v>560</v>
      </c>
      <c r="H176" t="s">
        <v>561</v>
      </c>
      <c r="I176" t="s">
        <v>1137</v>
      </c>
      <c r="L176" t="s">
        <v>863</v>
      </c>
      <c r="M176" t="s">
        <v>564</v>
      </c>
      <c r="N176" t="s">
        <v>573</v>
      </c>
      <c r="O176" t="s">
        <v>1138</v>
      </c>
      <c r="P176" t="s">
        <v>642</v>
      </c>
      <c r="Q176" t="s">
        <v>568</v>
      </c>
      <c r="R176" t="s">
        <v>568</v>
      </c>
      <c r="S176" t="s">
        <v>569</v>
      </c>
      <c r="T176" t="s">
        <v>1139</v>
      </c>
      <c r="U176" t="s">
        <v>866</v>
      </c>
      <c r="V176" t="s">
        <v>1140</v>
      </c>
      <c r="W176" t="s">
        <v>645</v>
      </c>
      <c r="X176" t="s">
        <v>564</v>
      </c>
      <c r="Y176" t="s">
        <v>574</v>
      </c>
      <c r="Z176" t="s">
        <v>574</v>
      </c>
      <c r="AA176" t="s">
        <v>565</v>
      </c>
      <c r="AB176" t="s">
        <v>868</v>
      </c>
      <c r="AC176" t="s">
        <v>588</v>
      </c>
      <c r="AD176" t="s">
        <v>599</v>
      </c>
      <c r="AE176" t="s">
        <v>600</v>
      </c>
      <c r="AF176" t="str">
        <f>IF(AND(HOUR(O176)&gt;=1,HOUR(O176)&lt;=13),VLOOKUP(B176,Programacion!$A$8:$S$1048576,16,FALSE),VLOOKUP(B176,Programacion!$A$8:$S$1048576,18,FALSE))</f>
        <v xml:space="preserve">  2195</v>
      </c>
      <c r="AG176" t="str">
        <f>IF(AND(HOUR(O176)&gt;=1,HOUR(O176)&lt;=13),VLOOKUP(B176,Programacion!$A$8:$S$1048576,17,FALSE),VLOOKUP(B176,Programacion!$A$8:$S$1048576,19,FALSE))</f>
        <v>GB01</v>
      </c>
    </row>
    <row r="177" spans="1:33" x14ac:dyDescent="0.25">
      <c r="A177" s="33" t="s">
        <v>188</v>
      </c>
      <c r="B177" t="s">
        <v>486</v>
      </c>
      <c r="C177" t="s">
        <v>1141</v>
      </c>
      <c r="D177" t="s">
        <v>557</v>
      </c>
      <c r="E177" t="s">
        <v>558</v>
      </c>
      <c r="F177" t="s">
        <v>1142</v>
      </c>
      <c r="G177" t="s">
        <v>560</v>
      </c>
      <c r="H177" t="s">
        <v>561</v>
      </c>
      <c r="J177" t="s">
        <v>1143</v>
      </c>
      <c r="L177" t="s">
        <v>581</v>
      </c>
      <c r="M177" t="s">
        <v>564</v>
      </c>
      <c r="N177" t="s">
        <v>565</v>
      </c>
      <c r="O177" t="s">
        <v>715</v>
      </c>
      <c r="P177" t="s">
        <v>1144</v>
      </c>
      <c r="Q177" t="s">
        <v>704</v>
      </c>
      <c r="R177" t="s">
        <v>704</v>
      </c>
      <c r="S177" t="s">
        <v>844</v>
      </c>
      <c r="T177" t="s">
        <v>1145</v>
      </c>
      <c r="U177" t="s">
        <v>1046</v>
      </c>
      <c r="V177" t="s">
        <v>1146</v>
      </c>
      <c r="W177" t="s">
        <v>1147</v>
      </c>
      <c r="X177" t="s">
        <v>564</v>
      </c>
      <c r="Y177" t="s">
        <v>574</v>
      </c>
      <c r="Z177" t="s">
        <v>574</v>
      </c>
      <c r="AA177" t="s">
        <v>828</v>
      </c>
      <c r="AB177" t="s">
        <v>1148</v>
      </c>
      <c r="AC177" t="s">
        <v>588</v>
      </c>
      <c r="AD177" t="s">
        <v>704</v>
      </c>
      <c r="AE177" t="s">
        <v>1149</v>
      </c>
      <c r="AF177" t="str">
        <f>IF(AND(HOUR(O177)&gt;=1,HOUR(O177)&lt;=13),VLOOKUP(B177,Programacion!$A$8:$S$1048576,16,FALSE),VLOOKUP(B177,Programacion!$A$8:$S$1048576,18,FALSE))</f>
        <v xml:space="preserve">  1665</v>
      </c>
      <c r="AG177" t="str">
        <f>IF(AND(HOUR(O177)&gt;=1,HOUR(O177)&lt;=13),VLOOKUP(B177,Programacion!$A$8:$S$1048576,17,FALSE),VLOOKUP(B177,Programacion!$A$8:$S$1048576,19,FALSE))</f>
        <v>GB01</v>
      </c>
    </row>
    <row r="178" spans="1:33" x14ac:dyDescent="0.25">
      <c r="A178" s="33" t="s">
        <v>179</v>
      </c>
      <c r="B178" t="s">
        <v>507</v>
      </c>
      <c r="C178" t="s">
        <v>1150</v>
      </c>
      <c r="D178" t="s">
        <v>557</v>
      </c>
      <c r="E178" t="s">
        <v>558</v>
      </c>
      <c r="F178" t="s">
        <v>1151</v>
      </c>
      <c r="G178" t="s">
        <v>560</v>
      </c>
      <c r="H178" t="s">
        <v>561</v>
      </c>
      <c r="I178" t="s">
        <v>1152</v>
      </c>
      <c r="L178" t="s">
        <v>942</v>
      </c>
      <c r="M178" t="s">
        <v>564</v>
      </c>
      <c r="N178" t="s">
        <v>573</v>
      </c>
      <c r="O178" t="s">
        <v>848</v>
      </c>
      <c r="P178" t="s">
        <v>582</v>
      </c>
      <c r="Q178" t="s">
        <v>792</v>
      </c>
      <c r="R178" t="s">
        <v>792</v>
      </c>
      <c r="S178" t="s">
        <v>1153</v>
      </c>
      <c r="T178" t="s">
        <v>1154</v>
      </c>
      <c r="U178" t="s">
        <v>826</v>
      </c>
      <c r="V178" t="s">
        <v>1155</v>
      </c>
      <c r="W178" t="s">
        <v>594</v>
      </c>
      <c r="X178" t="s">
        <v>564</v>
      </c>
      <c r="Y178" t="s">
        <v>574</v>
      </c>
      <c r="Z178" t="s">
        <v>574</v>
      </c>
      <c r="AA178" t="s">
        <v>565</v>
      </c>
      <c r="AB178" t="s">
        <v>720</v>
      </c>
      <c r="AC178" t="s">
        <v>576</v>
      </c>
      <c r="AD178" t="s">
        <v>599</v>
      </c>
      <c r="AE178" t="s">
        <v>618</v>
      </c>
      <c r="AF178" t="str">
        <f>IF(AND(HOUR(O178)&gt;=1,HOUR(O178)&lt;=13),VLOOKUP(B178,Programacion!$A$8:$S$1048576,16,FALSE),VLOOKUP(B178,Programacion!$A$8:$S$1048576,18,FALSE))</f>
        <v xml:space="preserve">  2127</v>
      </c>
      <c r="AG178" t="str">
        <f>IF(AND(HOUR(O178)&gt;=1,HOUR(O178)&lt;=13),VLOOKUP(B178,Programacion!$A$8:$S$1048576,17,FALSE),VLOOKUP(B178,Programacion!$A$8:$S$1048576,19,FALSE))</f>
        <v>GB01</v>
      </c>
    </row>
    <row r="179" spans="1:33" x14ac:dyDescent="0.25">
      <c r="A179" s="33" t="s">
        <v>179</v>
      </c>
      <c r="B179" t="s">
        <v>507</v>
      </c>
      <c r="C179" t="s">
        <v>1150</v>
      </c>
      <c r="D179" t="s">
        <v>557</v>
      </c>
      <c r="E179" t="s">
        <v>558</v>
      </c>
      <c r="F179" t="s">
        <v>1151</v>
      </c>
      <c r="G179" t="s">
        <v>560</v>
      </c>
      <c r="H179" t="s">
        <v>561</v>
      </c>
      <c r="I179" t="s">
        <v>1152</v>
      </c>
      <c r="L179" t="s">
        <v>942</v>
      </c>
      <c r="M179" t="s">
        <v>564</v>
      </c>
      <c r="N179" t="s">
        <v>573</v>
      </c>
      <c r="O179" t="s">
        <v>848</v>
      </c>
      <c r="P179" t="s">
        <v>582</v>
      </c>
      <c r="Q179" t="s">
        <v>792</v>
      </c>
      <c r="R179" t="s">
        <v>792</v>
      </c>
      <c r="S179" t="s">
        <v>1153</v>
      </c>
      <c r="T179" t="s">
        <v>1154</v>
      </c>
      <c r="U179" t="s">
        <v>826</v>
      </c>
      <c r="V179" t="s">
        <v>1155</v>
      </c>
      <c r="W179" t="s">
        <v>594</v>
      </c>
      <c r="X179" t="s">
        <v>564</v>
      </c>
      <c r="Y179" t="s">
        <v>574</v>
      </c>
      <c r="Z179" t="s">
        <v>574</v>
      </c>
      <c r="AA179" t="s">
        <v>565</v>
      </c>
      <c r="AB179" t="s">
        <v>720</v>
      </c>
      <c r="AC179" t="s">
        <v>596</v>
      </c>
      <c r="AD179" t="s">
        <v>1107</v>
      </c>
      <c r="AE179" t="s">
        <v>1156</v>
      </c>
      <c r="AF179" t="str">
        <f>IF(AND(HOUR(O179)&gt;=1,HOUR(O179)&lt;=13),VLOOKUP(B179,Programacion!$A$8:$S$1048576,16,FALSE),VLOOKUP(B179,Programacion!$A$8:$S$1048576,18,FALSE))</f>
        <v xml:space="preserve">  2127</v>
      </c>
      <c r="AG179" t="str">
        <f>IF(AND(HOUR(O179)&gt;=1,HOUR(O179)&lt;=13),VLOOKUP(B179,Programacion!$A$8:$S$1048576,17,FALSE),VLOOKUP(B179,Programacion!$A$8:$S$1048576,19,FALSE))</f>
        <v>GB01</v>
      </c>
    </row>
    <row r="180" spans="1:33" x14ac:dyDescent="0.25">
      <c r="A180" s="33" t="s">
        <v>179</v>
      </c>
      <c r="B180" t="s">
        <v>507</v>
      </c>
      <c r="C180" t="s">
        <v>1150</v>
      </c>
      <c r="D180" t="s">
        <v>557</v>
      </c>
      <c r="E180" t="s">
        <v>558</v>
      </c>
      <c r="F180" t="s">
        <v>1151</v>
      </c>
      <c r="G180" t="s">
        <v>560</v>
      </c>
      <c r="H180" t="s">
        <v>561</v>
      </c>
      <c r="I180" t="s">
        <v>1152</v>
      </c>
      <c r="L180" t="s">
        <v>942</v>
      </c>
      <c r="M180" t="s">
        <v>564</v>
      </c>
      <c r="N180" t="s">
        <v>573</v>
      </c>
      <c r="O180" t="s">
        <v>848</v>
      </c>
      <c r="P180" t="s">
        <v>582</v>
      </c>
      <c r="Q180" t="s">
        <v>792</v>
      </c>
      <c r="R180" t="s">
        <v>792</v>
      </c>
      <c r="S180" t="s">
        <v>1153</v>
      </c>
      <c r="T180" t="s">
        <v>1154</v>
      </c>
      <c r="U180" t="s">
        <v>826</v>
      </c>
      <c r="V180" t="s">
        <v>1155</v>
      </c>
      <c r="W180" t="s">
        <v>594</v>
      </c>
      <c r="X180" t="s">
        <v>564</v>
      </c>
      <c r="Y180" t="s">
        <v>574</v>
      </c>
      <c r="Z180" t="s">
        <v>574</v>
      </c>
      <c r="AA180" t="s">
        <v>565</v>
      </c>
      <c r="AB180" t="s">
        <v>720</v>
      </c>
      <c r="AC180" t="s">
        <v>598</v>
      </c>
      <c r="AD180" t="s">
        <v>599</v>
      </c>
      <c r="AE180" t="s">
        <v>647</v>
      </c>
      <c r="AF180" t="str">
        <f>IF(AND(HOUR(O180)&gt;=1,HOUR(O180)&lt;=13),VLOOKUP(B180,Programacion!$A$8:$S$1048576,16,FALSE),VLOOKUP(B180,Programacion!$A$8:$S$1048576,18,FALSE))</f>
        <v xml:space="preserve">  2127</v>
      </c>
      <c r="AG180" t="str">
        <f>IF(AND(HOUR(O180)&gt;=1,HOUR(O180)&lt;=13),VLOOKUP(B180,Programacion!$A$8:$S$1048576,17,FALSE),VLOOKUP(B180,Programacion!$A$8:$S$1048576,19,FALSE))</f>
        <v>GB01</v>
      </c>
    </row>
    <row r="181" spans="1:33" x14ac:dyDescent="0.25">
      <c r="A181" s="33" t="s">
        <v>179</v>
      </c>
      <c r="B181" t="s">
        <v>507</v>
      </c>
      <c r="C181" t="s">
        <v>1150</v>
      </c>
      <c r="D181" t="s">
        <v>557</v>
      </c>
      <c r="E181" t="s">
        <v>558</v>
      </c>
      <c r="F181" t="s">
        <v>1157</v>
      </c>
      <c r="G181" t="s">
        <v>560</v>
      </c>
      <c r="H181" t="s">
        <v>561</v>
      </c>
      <c r="I181" t="s">
        <v>1158</v>
      </c>
      <c r="L181" t="s">
        <v>1159</v>
      </c>
      <c r="M181" t="s">
        <v>564</v>
      </c>
      <c r="N181" t="s">
        <v>573</v>
      </c>
      <c r="O181" t="s">
        <v>1160</v>
      </c>
      <c r="P181" t="s">
        <v>642</v>
      </c>
      <c r="Q181" t="s">
        <v>792</v>
      </c>
      <c r="R181" t="s">
        <v>792</v>
      </c>
      <c r="S181" t="s">
        <v>1153</v>
      </c>
      <c r="T181" t="s">
        <v>643</v>
      </c>
      <c r="U181" t="s">
        <v>1161</v>
      </c>
      <c r="V181" t="s">
        <v>1162</v>
      </c>
      <c r="W181" t="s">
        <v>645</v>
      </c>
      <c r="X181" t="s">
        <v>564</v>
      </c>
      <c r="Y181" t="s">
        <v>574</v>
      </c>
      <c r="Z181" t="s">
        <v>574</v>
      </c>
      <c r="AA181" t="s">
        <v>565</v>
      </c>
      <c r="AB181" t="s">
        <v>787</v>
      </c>
      <c r="AC181" t="s">
        <v>576</v>
      </c>
      <c r="AD181" t="s">
        <v>886</v>
      </c>
      <c r="AE181" t="s">
        <v>1163</v>
      </c>
      <c r="AF181" t="str">
        <f>IF(AND(HOUR(O181)&gt;=1,HOUR(O181)&lt;=13),VLOOKUP(B181,Programacion!$A$8:$S$1048576,16,FALSE),VLOOKUP(B181,Programacion!$A$8:$S$1048576,18,FALSE))</f>
        <v xml:space="preserve">  2127</v>
      </c>
      <c r="AG181" t="str">
        <f>IF(AND(HOUR(O181)&gt;=1,HOUR(O181)&lt;=13),VLOOKUP(B181,Programacion!$A$8:$S$1048576,17,FALSE),VLOOKUP(B181,Programacion!$A$8:$S$1048576,19,FALSE))</f>
        <v>GB01</v>
      </c>
    </row>
    <row r="182" spans="1:33" x14ac:dyDescent="0.25">
      <c r="A182" s="33" t="s">
        <v>179</v>
      </c>
      <c r="B182" t="s">
        <v>507</v>
      </c>
      <c r="C182" t="s">
        <v>1150</v>
      </c>
      <c r="D182" t="s">
        <v>557</v>
      </c>
      <c r="E182" t="s">
        <v>558</v>
      </c>
      <c r="F182" t="s">
        <v>1157</v>
      </c>
      <c r="G182" t="s">
        <v>560</v>
      </c>
      <c r="H182" t="s">
        <v>561</v>
      </c>
      <c r="I182" t="s">
        <v>1158</v>
      </c>
      <c r="L182" t="s">
        <v>1159</v>
      </c>
      <c r="M182" t="s">
        <v>564</v>
      </c>
      <c r="N182" t="s">
        <v>573</v>
      </c>
      <c r="O182" t="s">
        <v>1160</v>
      </c>
      <c r="P182" t="s">
        <v>642</v>
      </c>
      <c r="Q182" t="s">
        <v>792</v>
      </c>
      <c r="R182" t="s">
        <v>792</v>
      </c>
      <c r="S182" t="s">
        <v>1153</v>
      </c>
      <c r="T182" t="s">
        <v>643</v>
      </c>
      <c r="U182" t="s">
        <v>1161</v>
      </c>
      <c r="V182" t="s">
        <v>1162</v>
      </c>
      <c r="W182" t="s">
        <v>645</v>
      </c>
      <c r="X182" t="s">
        <v>564</v>
      </c>
      <c r="Y182" t="s">
        <v>574</v>
      </c>
      <c r="Z182" t="s">
        <v>574</v>
      </c>
      <c r="AA182" t="s">
        <v>565</v>
      </c>
      <c r="AB182" t="s">
        <v>787</v>
      </c>
      <c r="AC182" t="s">
        <v>596</v>
      </c>
      <c r="AD182" t="s">
        <v>798</v>
      </c>
      <c r="AE182" t="s">
        <v>696</v>
      </c>
      <c r="AF182" t="str">
        <f>IF(AND(HOUR(O182)&gt;=1,HOUR(O182)&lt;=13),VLOOKUP(B182,Programacion!$A$8:$S$1048576,16,FALSE),VLOOKUP(B182,Programacion!$A$8:$S$1048576,18,FALSE))</f>
        <v xml:space="preserve">  2127</v>
      </c>
      <c r="AG182" t="str">
        <f>IF(AND(HOUR(O182)&gt;=1,HOUR(O182)&lt;=13),VLOOKUP(B182,Programacion!$A$8:$S$1048576,17,FALSE),VLOOKUP(B182,Programacion!$A$8:$S$1048576,19,FALSE))</f>
        <v>GB01</v>
      </c>
    </row>
    <row r="183" spans="1:33" x14ac:dyDescent="0.25">
      <c r="A183" s="33" t="s">
        <v>1164</v>
      </c>
      <c r="B183" t="s">
        <v>512</v>
      </c>
      <c r="C183" t="s">
        <v>1165</v>
      </c>
      <c r="D183" t="s">
        <v>557</v>
      </c>
      <c r="E183" t="s">
        <v>558</v>
      </c>
      <c r="F183" t="s">
        <v>1166</v>
      </c>
      <c r="G183" t="s">
        <v>560</v>
      </c>
      <c r="H183" t="s">
        <v>561</v>
      </c>
      <c r="I183" t="s">
        <v>1167</v>
      </c>
      <c r="L183" t="s">
        <v>701</v>
      </c>
      <c r="M183" t="s">
        <v>564</v>
      </c>
      <c r="N183" t="s">
        <v>565</v>
      </c>
      <c r="O183" t="s">
        <v>702</v>
      </c>
      <c r="P183" t="s">
        <v>983</v>
      </c>
      <c r="Q183" t="s">
        <v>704</v>
      </c>
      <c r="R183" t="s">
        <v>704</v>
      </c>
      <c r="S183" t="s">
        <v>725</v>
      </c>
      <c r="T183" t="s">
        <v>766</v>
      </c>
      <c r="U183" t="s">
        <v>988</v>
      </c>
      <c r="V183" t="s">
        <v>1168</v>
      </c>
      <c r="W183" t="s">
        <v>564</v>
      </c>
      <c r="X183" t="s">
        <v>564</v>
      </c>
      <c r="Y183" t="s">
        <v>574</v>
      </c>
      <c r="Z183" t="s">
        <v>574</v>
      </c>
      <c r="AA183" t="s">
        <v>565</v>
      </c>
      <c r="AB183" t="s">
        <v>990</v>
      </c>
      <c r="AC183" t="s">
        <v>588</v>
      </c>
      <c r="AD183" t="s">
        <v>568</v>
      </c>
      <c r="AE183" t="s">
        <v>1169</v>
      </c>
      <c r="AF183" t="str">
        <f>IF(AND(HOUR(O183)&gt;=1,HOUR(O183)&lt;=13),VLOOKUP(B183,Programacion!$A$8:$S$1048576,16,FALSE),VLOOKUP(B183,Programacion!$A$8:$S$1048576,18,FALSE))</f>
        <v xml:space="preserve">  1992</v>
      </c>
      <c r="AG183" t="str">
        <f>IF(AND(HOUR(O183)&gt;=1,HOUR(O183)&lt;=13),VLOOKUP(B183,Programacion!$A$8:$S$1048576,17,FALSE),VLOOKUP(B183,Programacion!$A$8:$S$1048576,19,FALSE))</f>
        <v>GB01</v>
      </c>
    </row>
    <row r="184" spans="1:33" x14ac:dyDescent="0.25">
      <c r="A184" s="33" t="s">
        <v>1164</v>
      </c>
      <c r="B184" t="s">
        <v>512</v>
      </c>
      <c r="C184" t="s">
        <v>1165</v>
      </c>
      <c r="D184" t="s">
        <v>557</v>
      </c>
      <c r="E184" t="s">
        <v>558</v>
      </c>
      <c r="F184" t="s">
        <v>1166</v>
      </c>
      <c r="G184" t="s">
        <v>560</v>
      </c>
      <c r="H184" t="s">
        <v>561</v>
      </c>
      <c r="I184" t="s">
        <v>1167</v>
      </c>
      <c r="L184" t="s">
        <v>701</v>
      </c>
      <c r="M184" t="s">
        <v>564</v>
      </c>
      <c r="N184" t="s">
        <v>565</v>
      </c>
      <c r="O184" t="s">
        <v>702</v>
      </c>
      <c r="P184" t="s">
        <v>983</v>
      </c>
      <c r="Q184" t="s">
        <v>704</v>
      </c>
      <c r="R184" t="s">
        <v>704</v>
      </c>
      <c r="S184" t="s">
        <v>725</v>
      </c>
      <c r="T184" t="s">
        <v>888</v>
      </c>
      <c r="U184" t="s">
        <v>707</v>
      </c>
      <c r="V184" t="s">
        <v>889</v>
      </c>
      <c r="W184" t="s">
        <v>586</v>
      </c>
      <c r="X184" t="s">
        <v>564</v>
      </c>
      <c r="Y184" t="s">
        <v>574</v>
      </c>
      <c r="Z184" t="s">
        <v>574</v>
      </c>
      <c r="AA184" t="s">
        <v>565</v>
      </c>
      <c r="AB184" t="s">
        <v>710</v>
      </c>
      <c r="AC184" t="s">
        <v>588</v>
      </c>
      <c r="AD184" t="s">
        <v>693</v>
      </c>
      <c r="AE184" t="s">
        <v>590</v>
      </c>
      <c r="AF184" t="str">
        <f>IF(AND(HOUR(O184)&gt;=1,HOUR(O184)&lt;=13),VLOOKUP(B184,Programacion!$A$8:$S$1048576,16,FALSE),VLOOKUP(B184,Programacion!$A$8:$S$1048576,18,FALSE))</f>
        <v xml:space="preserve">  1992</v>
      </c>
      <c r="AG184" t="str">
        <f>IF(AND(HOUR(O184)&gt;=1,HOUR(O184)&lt;=13),VLOOKUP(B184,Programacion!$A$8:$S$1048576,17,FALSE),VLOOKUP(B184,Programacion!$A$8:$S$1048576,19,FALSE))</f>
        <v>GB01</v>
      </c>
    </row>
    <row r="185" spans="1:33" x14ac:dyDescent="0.25">
      <c r="A185" s="33" t="s">
        <v>1164</v>
      </c>
      <c r="B185" t="s">
        <v>512</v>
      </c>
      <c r="C185" t="s">
        <v>1165</v>
      </c>
      <c r="D185" t="s">
        <v>557</v>
      </c>
      <c r="E185" t="s">
        <v>558</v>
      </c>
      <c r="F185" t="s">
        <v>1170</v>
      </c>
      <c r="G185" t="s">
        <v>560</v>
      </c>
      <c r="H185" t="s">
        <v>561</v>
      </c>
      <c r="I185" t="s">
        <v>1171</v>
      </c>
      <c r="L185" t="s">
        <v>1172</v>
      </c>
      <c r="M185" t="s">
        <v>564</v>
      </c>
      <c r="N185" t="s">
        <v>573</v>
      </c>
      <c r="O185" t="s">
        <v>1173</v>
      </c>
      <c r="P185" t="s">
        <v>582</v>
      </c>
      <c r="Q185" t="s">
        <v>704</v>
      </c>
      <c r="R185" t="s">
        <v>704</v>
      </c>
      <c r="S185" t="s">
        <v>725</v>
      </c>
      <c r="T185" t="s">
        <v>1174</v>
      </c>
      <c r="U185" t="s">
        <v>777</v>
      </c>
      <c r="V185" t="s">
        <v>1175</v>
      </c>
      <c r="W185" t="s">
        <v>594</v>
      </c>
      <c r="X185" t="s">
        <v>564</v>
      </c>
      <c r="Y185" t="s">
        <v>574</v>
      </c>
      <c r="Z185" t="s">
        <v>574</v>
      </c>
      <c r="AA185" t="s">
        <v>565</v>
      </c>
      <c r="AB185" t="s">
        <v>780</v>
      </c>
      <c r="AC185" t="s">
        <v>576</v>
      </c>
      <c r="AD185" t="s">
        <v>1107</v>
      </c>
      <c r="AE185" t="s">
        <v>1176</v>
      </c>
      <c r="AF185" t="str">
        <f>IF(AND(HOUR(O185)&gt;=1,HOUR(O185)&lt;=13),VLOOKUP(B185,Programacion!$A$8:$S$1048576,16,FALSE),VLOOKUP(B185,Programacion!$A$8:$S$1048576,18,FALSE))</f>
        <v xml:space="preserve">  1992</v>
      </c>
      <c r="AG185" t="str">
        <f>IF(AND(HOUR(O185)&gt;=1,HOUR(O185)&lt;=13),VLOOKUP(B185,Programacion!$A$8:$S$1048576,17,FALSE),VLOOKUP(B185,Programacion!$A$8:$S$1048576,19,FALSE))</f>
        <v>GB01</v>
      </c>
    </row>
    <row r="186" spans="1:33" x14ac:dyDescent="0.25">
      <c r="A186" s="33" t="s">
        <v>1164</v>
      </c>
      <c r="B186" t="s">
        <v>512</v>
      </c>
      <c r="C186" t="s">
        <v>1165</v>
      </c>
      <c r="D186" t="s">
        <v>557</v>
      </c>
      <c r="E186" t="s">
        <v>558</v>
      </c>
      <c r="F186" t="s">
        <v>1170</v>
      </c>
      <c r="G186" t="s">
        <v>560</v>
      </c>
      <c r="H186" t="s">
        <v>561</v>
      </c>
      <c r="I186" t="s">
        <v>1171</v>
      </c>
      <c r="L186" t="s">
        <v>1172</v>
      </c>
      <c r="M186" t="s">
        <v>564</v>
      </c>
      <c r="N186" t="s">
        <v>573</v>
      </c>
      <c r="O186" t="s">
        <v>1173</v>
      </c>
      <c r="P186" t="s">
        <v>582</v>
      </c>
      <c r="Q186" t="s">
        <v>704</v>
      </c>
      <c r="R186" t="s">
        <v>704</v>
      </c>
      <c r="S186" t="s">
        <v>725</v>
      </c>
      <c r="T186" t="s">
        <v>1174</v>
      </c>
      <c r="U186" t="s">
        <v>777</v>
      </c>
      <c r="V186" t="s">
        <v>1175</v>
      </c>
      <c r="W186" t="s">
        <v>594</v>
      </c>
      <c r="X186" t="s">
        <v>564</v>
      </c>
      <c r="Y186" t="s">
        <v>574</v>
      </c>
      <c r="Z186" t="s">
        <v>574</v>
      </c>
      <c r="AA186" t="s">
        <v>565</v>
      </c>
      <c r="AB186" t="s">
        <v>780</v>
      </c>
      <c r="AC186" t="s">
        <v>588</v>
      </c>
      <c r="AD186" t="s">
        <v>589</v>
      </c>
      <c r="AE186" t="s">
        <v>694</v>
      </c>
      <c r="AF186" t="str">
        <f>IF(AND(HOUR(O186)&gt;=1,HOUR(O186)&lt;=13),VLOOKUP(B186,Programacion!$A$8:$S$1048576,16,FALSE),VLOOKUP(B186,Programacion!$A$8:$S$1048576,18,FALSE))</f>
        <v xml:space="preserve">  1992</v>
      </c>
      <c r="AG186" t="str">
        <f>IF(AND(HOUR(O186)&gt;=1,HOUR(O186)&lt;=13),VLOOKUP(B186,Programacion!$A$8:$S$1048576,17,FALSE),VLOOKUP(B186,Programacion!$A$8:$S$1048576,19,FALSE))</f>
        <v>GB01</v>
      </c>
    </row>
    <row r="187" spans="1:33" x14ac:dyDescent="0.25">
      <c r="A187" s="33" t="s">
        <v>1164</v>
      </c>
      <c r="B187" t="s">
        <v>512</v>
      </c>
      <c r="C187" t="s">
        <v>1165</v>
      </c>
      <c r="D187" t="s">
        <v>557</v>
      </c>
      <c r="E187" t="s">
        <v>558</v>
      </c>
      <c r="F187" t="s">
        <v>1170</v>
      </c>
      <c r="G187" t="s">
        <v>560</v>
      </c>
      <c r="H187" t="s">
        <v>561</v>
      </c>
      <c r="I187" t="s">
        <v>1171</v>
      </c>
      <c r="L187" t="s">
        <v>1172</v>
      </c>
      <c r="M187" t="s">
        <v>564</v>
      </c>
      <c r="N187" t="s">
        <v>573</v>
      </c>
      <c r="O187" t="s">
        <v>1173</v>
      </c>
      <c r="P187" t="s">
        <v>582</v>
      </c>
      <c r="Q187" t="s">
        <v>704</v>
      </c>
      <c r="R187" t="s">
        <v>704</v>
      </c>
      <c r="S187" t="s">
        <v>725</v>
      </c>
      <c r="T187" t="s">
        <v>1174</v>
      </c>
      <c r="U187" t="s">
        <v>777</v>
      </c>
      <c r="V187" t="s">
        <v>1175</v>
      </c>
      <c r="W187" t="s">
        <v>594</v>
      </c>
      <c r="X187" t="s">
        <v>564</v>
      </c>
      <c r="Y187" t="s">
        <v>574</v>
      </c>
      <c r="Z187" t="s">
        <v>574</v>
      </c>
      <c r="AA187" t="s">
        <v>565</v>
      </c>
      <c r="AB187" t="s">
        <v>780</v>
      </c>
      <c r="AC187" t="s">
        <v>598</v>
      </c>
      <c r="AD187" t="s">
        <v>798</v>
      </c>
      <c r="AE187" t="s">
        <v>618</v>
      </c>
      <c r="AF187" t="str">
        <f>IF(AND(HOUR(O187)&gt;=1,HOUR(O187)&lt;=13),VLOOKUP(B187,Programacion!$A$8:$S$1048576,16,FALSE),VLOOKUP(B187,Programacion!$A$8:$S$1048576,18,FALSE))</f>
        <v xml:space="preserve">  1992</v>
      </c>
      <c r="AG187" t="str">
        <f>IF(AND(HOUR(O187)&gt;=1,HOUR(O187)&lt;=13),VLOOKUP(B187,Programacion!$A$8:$S$1048576,17,FALSE),VLOOKUP(B187,Programacion!$A$8:$S$1048576,19,FALSE))</f>
        <v>GB01</v>
      </c>
    </row>
    <row r="188" spans="1:33" x14ac:dyDescent="0.25">
      <c r="A188" s="33" t="s">
        <v>1164</v>
      </c>
      <c r="B188" t="s">
        <v>512</v>
      </c>
      <c r="C188" t="s">
        <v>1165</v>
      </c>
      <c r="D188" t="s">
        <v>557</v>
      </c>
      <c r="E188" t="s">
        <v>558</v>
      </c>
      <c r="F188" t="s">
        <v>1177</v>
      </c>
      <c r="G188" t="s">
        <v>560</v>
      </c>
      <c r="H188" t="s">
        <v>561</v>
      </c>
      <c r="I188" t="s">
        <v>1178</v>
      </c>
      <c r="L188" t="s">
        <v>737</v>
      </c>
      <c r="M188" t="s">
        <v>564</v>
      </c>
      <c r="N188" t="s">
        <v>573</v>
      </c>
      <c r="O188" t="s">
        <v>609</v>
      </c>
      <c r="P188" t="s">
        <v>738</v>
      </c>
      <c r="Q188" t="s">
        <v>704</v>
      </c>
      <c r="R188" t="s">
        <v>704</v>
      </c>
      <c r="S188" t="s">
        <v>725</v>
      </c>
      <c r="T188" t="s">
        <v>1179</v>
      </c>
      <c r="U188" t="s">
        <v>740</v>
      </c>
      <c r="V188" t="s">
        <v>1180</v>
      </c>
      <c r="W188" t="s">
        <v>564</v>
      </c>
      <c r="X188" t="s">
        <v>564</v>
      </c>
      <c r="Y188" t="s">
        <v>574</v>
      </c>
      <c r="Z188" t="s">
        <v>574</v>
      </c>
      <c r="AA188" t="s">
        <v>565</v>
      </c>
      <c r="AB188" t="s">
        <v>613</v>
      </c>
      <c r="AC188" t="s">
        <v>576</v>
      </c>
      <c r="AD188" t="s">
        <v>599</v>
      </c>
      <c r="AE188" t="s">
        <v>600</v>
      </c>
      <c r="AF188" t="str">
        <f>IF(AND(HOUR(O188)&gt;=1,HOUR(O188)&lt;=13),VLOOKUP(B188,Programacion!$A$8:$S$1048576,16,FALSE),VLOOKUP(B188,Programacion!$A$8:$S$1048576,18,FALSE))</f>
        <v xml:space="preserve">  2130</v>
      </c>
      <c r="AG188" t="str">
        <f>IF(AND(HOUR(O188)&gt;=1,HOUR(O188)&lt;=13),VLOOKUP(B188,Programacion!$A$8:$S$1048576,17,FALSE),VLOOKUP(B188,Programacion!$A$8:$S$1048576,19,FALSE))</f>
        <v>GB01</v>
      </c>
    </row>
    <row r="189" spans="1:33" x14ac:dyDescent="0.25">
      <c r="A189" s="33" t="s">
        <v>1164</v>
      </c>
      <c r="B189" t="s">
        <v>512</v>
      </c>
      <c r="C189" t="s">
        <v>1165</v>
      </c>
      <c r="D189" t="s">
        <v>557</v>
      </c>
      <c r="E189" t="s">
        <v>558</v>
      </c>
      <c r="F189" t="s">
        <v>1177</v>
      </c>
      <c r="G189" t="s">
        <v>560</v>
      </c>
      <c r="H189" t="s">
        <v>561</v>
      </c>
      <c r="I189" t="s">
        <v>1178</v>
      </c>
      <c r="L189" t="s">
        <v>737</v>
      </c>
      <c r="M189" t="s">
        <v>564</v>
      </c>
      <c r="N189" t="s">
        <v>573</v>
      </c>
      <c r="O189" t="s">
        <v>609</v>
      </c>
      <c r="P189" t="s">
        <v>738</v>
      </c>
      <c r="Q189" t="s">
        <v>704</v>
      </c>
      <c r="R189" t="s">
        <v>704</v>
      </c>
      <c r="S189" t="s">
        <v>725</v>
      </c>
      <c r="T189" t="s">
        <v>1179</v>
      </c>
      <c r="U189" t="s">
        <v>740</v>
      </c>
      <c r="V189" t="s">
        <v>1180</v>
      </c>
      <c r="W189" t="s">
        <v>564</v>
      </c>
      <c r="X189" t="s">
        <v>564</v>
      </c>
      <c r="Y189" t="s">
        <v>574</v>
      </c>
      <c r="Z189" t="s">
        <v>574</v>
      </c>
      <c r="AA189" t="s">
        <v>565</v>
      </c>
      <c r="AB189" t="s">
        <v>613</v>
      </c>
      <c r="AC189" t="s">
        <v>596</v>
      </c>
      <c r="AD189" t="s">
        <v>757</v>
      </c>
      <c r="AE189" t="s">
        <v>1114</v>
      </c>
      <c r="AF189" t="str">
        <f>IF(AND(HOUR(O189)&gt;=1,HOUR(O189)&lt;=13),VLOOKUP(B189,Programacion!$A$8:$S$1048576,16,FALSE),VLOOKUP(B189,Programacion!$A$8:$S$1048576,18,FALSE))</f>
        <v xml:space="preserve">  2130</v>
      </c>
      <c r="AG189" t="str">
        <f>IF(AND(HOUR(O189)&gt;=1,HOUR(O189)&lt;=13),VLOOKUP(B189,Programacion!$A$8:$S$1048576,17,FALSE),VLOOKUP(B189,Programacion!$A$8:$S$1048576,19,FALSE))</f>
        <v>GB01</v>
      </c>
    </row>
    <row r="190" spans="1:33" x14ac:dyDescent="0.25">
      <c r="A190" s="33" t="s">
        <v>1164</v>
      </c>
      <c r="B190" t="s">
        <v>512</v>
      </c>
      <c r="C190" t="s">
        <v>1165</v>
      </c>
      <c r="D190" t="s">
        <v>557</v>
      </c>
      <c r="E190" t="s">
        <v>558</v>
      </c>
      <c r="F190" t="s">
        <v>1177</v>
      </c>
      <c r="G190" t="s">
        <v>560</v>
      </c>
      <c r="H190" t="s">
        <v>561</v>
      </c>
      <c r="I190" t="s">
        <v>1178</v>
      </c>
      <c r="L190" t="s">
        <v>737</v>
      </c>
      <c r="M190" t="s">
        <v>564</v>
      </c>
      <c r="N190" t="s">
        <v>573</v>
      </c>
      <c r="O190" t="s">
        <v>609</v>
      </c>
      <c r="P190" t="s">
        <v>738</v>
      </c>
      <c r="Q190" t="s">
        <v>704</v>
      </c>
      <c r="R190" t="s">
        <v>704</v>
      </c>
      <c r="S190" t="s">
        <v>725</v>
      </c>
      <c r="T190" t="s">
        <v>1181</v>
      </c>
      <c r="U190" t="s">
        <v>744</v>
      </c>
      <c r="V190" t="s">
        <v>1182</v>
      </c>
      <c r="W190" t="s">
        <v>1072</v>
      </c>
      <c r="X190" t="s">
        <v>564</v>
      </c>
      <c r="Y190" t="s">
        <v>574</v>
      </c>
      <c r="Z190" t="s">
        <v>574</v>
      </c>
      <c r="AA190" t="s">
        <v>565</v>
      </c>
      <c r="AB190" t="s">
        <v>746</v>
      </c>
      <c r="AC190" t="s">
        <v>596</v>
      </c>
      <c r="AD190" t="s">
        <v>692</v>
      </c>
      <c r="AE190" t="s">
        <v>840</v>
      </c>
      <c r="AF190" t="str">
        <f>IF(AND(HOUR(O190)&gt;=1,HOUR(O190)&lt;=13),VLOOKUP(B190,Programacion!$A$8:$S$1048576,16,FALSE),VLOOKUP(B190,Programacion!$A$8:$S$1048576,18,FALSE))</f>
        <v xml:space="preserve">  2130</v>
      </c>
      <c r="AG190" t="str">
        <f>IF(AND(HOUR(O190)&gt;=1,HOUR(O190)&lt;=13),VLOOKUP(B190,Programacion!$A$8:$S$1048576,17,FALSE),VLOOKUP(B190,Programacion!$A$8:$S$1048576,19,FALSE))</f>
        <v>GB01</v>
      </c>
    </row>
    <row r="191" spans="1:33" x14ac:dyDescent="0.25">
      <c r="A191" s="33" t="s">
        <v>1164</v>
      </c>
      <c r="B191" t="s">
        <v>512</v>
      </c>
      <c r="C191" t="s">
        <v>1165</v>
      </c>
      <c r="D191" t="s">
        <v>557</v>
      </c>
      <c r="E191" t="s">
        <v>558</v>
      </c>
      <c r="F191" t="s">
        <v>1177</v>
      </c>
      <c r="G191" t="s">
        <v>560</v>
      </c>
      <c r="H191" t="s">
        <v>561</v>
      </c>
      <c r="I191" t="s">
        <v>1178</v>
      </c>
      <c r="L191" t="s">
        <v>737</v>
      </c>
      <c r="M191" t="s">
        <v>564</v>
      </c>
      <c r="N191" t="s">
        <v>573</v>
      </c>
      <c r="O191" t="s">
        <v>609</v>
      </c>
      <c r="P191" t="s">
        <v>738</v>
      </c>
      <c r="Q191" t="s">
        <v>704</v>
      </c>
      <c r="R191" t="s">
        <v>704</v>
      </c>
      <c r="S191" t="s">
        <v>725</v>
      </c>
      <c r="T191" t="s">
        <v>1181</v>
      </c>
      <c r="U191" t="s">
        <v>744</v>
      </c>
      <c r="V191" t="s">
        <v>1182</v>
      </c>
      <c r="W191" t="s">
        <v>1072</v>
      </c>
      <c r="X191" t="s">
        <v>564</v>
      </c>
      <c r="Y191" t="s">
        <v>574</v>
      </c>
      <c r="Z191" t="s">
        <v>574</v>
      </c>
      <c r="AA191" t="s">
        <v>565</v>
      </c>
      <c r="AB191" t="s">
        <v>746</v>
      </c>
      <c r="AC191" t="s">
        <v>588</v>
      </c>
      <c r="AD191" t="s">
        <v>798</v>
      </c>
      <c r="AE191" t="s">
        <v>618</v>
      </c>
      <c r="AF191" t="str">
        <f>IF(AND(HOUR(O191)&gt;=1,HOUR(O191)&lt;=13),VLOOKUP(B191,Programacion!$A$8:$S$1048576,16,FALSE),VLOOKUP(B191,Programacion!$A$8:$S$1048576,18,FALSE))</f>
        <v xml:space="preserve">  2130</v>
      </c>
      <c r="AG191" t="str">
        <f>IF(AND(HOUR(O191)&gt;=1,HOUR(O191)&lt;=13),VLOOKUP(B191,Programacion!$A$8:$S$1048576,17,FALSE),VLOOKUP(B191,Programacion!$A$8:$S$1048576,19,FALSE))</f>
        <v>GB01</v>
      </c>
    </row>
    <row r="192" spans="1:33" x14ac:dyDescent="0.25">
      <c r="A192" s="33" t="s">
        <v>1164</v>
      </c>
      <c r="B192" t="s">
        <v>512</v>
      </c>
      <c r="C192" t="s">
        <v>1165</v>
      </c>
      <c r="D192" t="s">
        <v>557</v>
      </c>
      <c r="E192" t="s">
        <v>558</v>
      </c>
      <c r="F192" t="s">
        <v>1183</v>
      </c>
      <c r="G192" t="s">
        <v>560</v>
      </c>
      <c r="H192" t="s">
        <v>561</v>
      </c>
      <c r="I192" t="s">
        <v>1184</v>
      </c>
      <c r="L192" t="s">
        <v>1138</v>
      </c>
      <c r="M192" t="s">
        <v>564</v>
      </c>
      <c r="N192" t="s">
        <v>573</v>
      </c>
      <c r="O192" t="s">
        <v>1111</v>
      </c>
      <c r="P192" t="s">
        <v>716</v>
      </c>
      <c r="Q192" t="s">
        <v>704</v>
      </c>
      <c r="R192" t="s">
        <v>704</v>
      </c>
      <c r="S192" t="s">
        <v>725</v>
      </c>
      <c r="T192" t="s">
        <v>1185</v>
      </c>
      <c r="U192" t="s">
        <v>871</v>
      </c>
      <c r="V192" t="s">
        <v>1186</v>
      </c>
      <c r="W192" t="s">
        <v>594</v>
      </c>
      <c r="X192" t="s">
        <v>564</v>
      </c>
      <c r="Y192" t="s">
        <v>574</v>
      </c>
      <c r="Z192" t="s">
        <v>574</v>
      </c>
      <c r="AA192" t="s">
        <v>565</v>
      </c>
      <c r="AB192" t="s">
        <v>873</v>
      </c>
      <c r="AC192" t="s">
        <v>588</v>
      </c>
      <c r="AD192" t="s">
        <v>589</v>
      </c>
      <c r="AE192" t="s">
        <v>694</v>
      </c>
      <c r="AF192" t="str">
        <f>IF(AND(HOUR(O192)&gt;=1,HOUR(O192)&lt;=13),VLOOKUP(B192,Programacion!$A$8:$S$1048576,16,FALSE),VLOOKUP(B192,Programacion!$A$8:$S$1048576,18,FALSE))</f>
        <v xml:space="preserve">  2130</v>
      </c>
      <c r="AG192" t="str">
        <f>IF(AND(HOUR(O192)&gt;=1,HOUR(O192)&lt;=13),VLOOKUP(B192,Programacion!$A$8:$S$1048576,17,FALSE),VLOOKUP(B192,Programacion!$A$8:$S$1048576,19,FALSE))</f>
        <v>GB01</v>
      </c>
    </row>
    <row r="193" spans="1:33" x14ac:dyDescent="0.25">
      <c r="A193" s="33" t="s">
        <v>1164</v>
      </c>
      <c r="B193" t="s">
        <v>512</v>
      </c>
      <c r="C193" t="s">
        <v>1165</v>
      </c>
      <c r="D193" t="s">
        <v>557</v>
      </c>
      <c r="E193" t="s">
        <v>558</v>
      </c>
      <c r="F193" t="s">
        <v>1183</v>
      </c>
      <c r="G193" t="s">
        <v>560</v>
      </c>
      <c r="H193" t="s">
        <v>561</v>
      </c>
      <c r="I193" t="s">
        <v>1184</v>
      </c>
      <c r="L193" t="s">
        <v>1138</v>
      </c>
      <c r="M193" t="s">
        <v>564</v>
      </c>
      <c r="N193" t="s">
        <v>573</v>
      </c>
      <c r="O193" t="s">
        <v>1111</v>
      </c>
      <c r="P193" t="s">
        <v>716</v>
      </c>
      <c r="Q193" t="s">
        <v>704</v>
      </c>
      <c r="R193" t="s">
        <v>704</v>
      </c>
      <c r="S193" t="s">
        <v>725</v>
      </c>
      <c r="T193" t="s">
        <v>1185</v>
      </c>
      <c r="U193" t="s">
        <v>871</v>
      </c>
      <c r="V193" t="s">
        <v>1186</v>
      </c>
      <c r="W193" t="s">
        <v>594</v>
      </c>
      <c r="X193" t="s">
        <v>564</v>
      </c>
      <c r="Y193" t="s">
        <v>574</v>
      </c>
      <c r="Z193" t="s">
        <v>574</v>
      </c>
      <c r="AA193" t="s">
        <v>565</v>
      </c>
      <c r="AB193" t="s">
        <v>873</v>
      </c>
      <c r="AC193" t="s">
        <v>596</v>
      </c>
      <c r="AD193" t="s">
        <v>1107</v>
      </c>
      <c r="AE193" t="s">
        <v>1187</v>
      </c>
      <c r="AF193" t="str">
        <f>IF(AND(HOUR(O193)&gt;=1,HOUR(O193)&lt;=13),VLOOKUP(B193,Programacion!$A$8:$S$1048576,16,FALSE),VLOOKUP(B193,Programacion!$A$8:$S$1048576,18,FALSE))</f>
        <v xml:space="preserve">  2130</v>
      </c>
      <c r="AG193" t="str">
        <f>IF(AND(HOUR(O193)&gt;=1,HOUR(O193)&lt;=13),VLOOKUP(B193,Programacion!$A$8:$S$1048576,17,FALSE),VLOOKUP(B193,Programacion!$A$8:$S$1048576,19,FALSE))</f>
        <v>GB01</v>
      </c>
    </row>
    <row r="194" spans="1:33" x14ac:dyDescent="0.25">
      <c r="A194" s="33" t="s">
        <v>1164</v>
      </c>
      <c r="B194" t="s">
        <v>512</v>
      </c>
      <c r="C194" t="s">
        <v>1165</v>
      </c>
      <c r="D194" t="s">
        <v>557</v>
      </c>
      <c r="E194" t="s">
        <v>558</v>
      </c>
      <c r="F194" t="s">
        <v>1183</v>
      </c>
      <c r="G194" t="s">
        <v>560</v>
      </c>
      <c r="H194" t="s">
        <v>561</v>
      </c>
      <c r="I194" t="s">
        <v>1184</v>
      </c>
      <c r="L194" t="s">
        <v>1138</v>
      </c>
      <c r="M194" t="s">
        <v>564</v>
      </c>
      <c r="N194" t="s">
        <v>573</v>
      </c>
      <c r="O194" t="s">
        <v>1111</v>
      </c>
      <c r="P194" t="s">
        <v>716</v>
      </c>
      <c r="Q194" t="s">
        <v>704</v>
      </c>
      <c r="R194" t="s">
        <v>704</v>
      </c>
      <c r="S194" t="s">
        <v>725</v>
      </c>
      <c r="T194" t="s">
        <v>1185</v>
      </c>
      <c r="U194" t="s">
        <v>871</v>
      </c>
      <c r="V194" t="s">
        <v>1186</v>
      </c>
      <c r="W194" t="s">
        <v>594</v>
      </c>
      <c r="X194" t="s">
        <v>564</v>
      </c>
      <c r="Y194" t="s">
        <v>574</v>
      </c>
      <c r="Z194" t="s">
        <v>574</v>
      </c>
      <c r="AA194" t="s">
        <v>565</v>
      </c>
      <c r="AB194" t="s">
        <v>873</v>
      </c>
      <c r="AC194" t="s">
        <v>598</v>
      </c>
      <c r="AD194" t="s">
        <v>798</v>
      </c>
      <c r="AE194" t="s">
        <v>618</v>
      </c>
      <c r="AF194" t="str">
        <f>IF(AND(HOUR(O194)&gt;=1,HOUR(O194)&lt;=13),VLOOKUP(B194,Programacion!$A$8:$S$1048576,16,FALSE),VLOOKUP(B194,Programacion!$A$8:$S$1048576,18,FALSE))</f>
        <v xml:space="preserve">  2130</v>
      </c>
      <c r="AG194" t="str">
        <f>IF(AND(HOUR(O194)&gt;=1,HOUR(O194)&lt;=13),VLOOKUP(B194,Programacion!$A$8:$S$1048576,17,FALSE),VLOOKUP(B194,Programacion!$A$8:$S$1048576,19,FALSE))</f>
        <v>GB01</v>
      </c>
    </row>
    <row r="195" spans="1:33" x14ac:dyDescent="0.25">
      <c r="A195" s="33" t="s">
        <v>84</v>
      </c>
      <c r="B195" t="s">
        <v>505</v>
      </c>
      <c r="C195" t="s">
        <v>1188</v>
      </c>
      <c r="D195" t="s">
        <v>557</v>
      </c>
      <c r="E195" t="s">
        <v>558</v>
      </c>
      <c r="F195" t="s">
        <v>1189</v>
      </c>
      <c r="G195" t="s">
        <v>560</v>
      </c>
      <c r="H195" t="s">
        <v>561</v>
      </c>
      <c r="I195" t="s">
        <v>1190</v>
      </c>
      <c r="L195" t="s">
        <v>563</v>
      </c>
      <c r="M195" t="s">
        <v>564</v>
      </c>
      <c r="N195" t="s">
        <v>573</v>
      </c>
      <c r="O195" t="s">
        <v>627</v>
      </c>
      <c r="P195" t="s">
        <v>1191</v>
      </c>
      <c r="Q195" t="s">
        <v>704</v>
      </c>
      <c r="R195" t="s">
        <v>704</v>
      </c>
      <c r="S195" t="s">
        <v>878</v>
      </c>
      <c r="T195" t="s">
        <v>1192</v>
      </c>
      <c r="U195" t="s">
        <v>1193</v>
      </c>
      <c r="V195" t="s">
        <v>1194</v>
      </c>
      <c r="W195" t="s">
        <v>945</v>
      </c>
      <c r="X195" t="s">
        <v>564</v>
      </c>
      <c r="Y195" t="s">
        <v>574</v>
      </c>
      <c r="Z195" t="s">
        <v>574</v>
      </c>
      <c r="AA195" t="s">
        <v>565</v>
      </c>
      <c r="AB195" t="s">
        <v>1195</v>
      </c>
      <c r="AC195" t="s">
        <v>598</v>
      </c>
      <c r="AD195" t="s">
        <v>693</v>
      </c>
      <c r="AE195" t="s">
        <v>996</v>
      </c>
      <c r="AF195" t="e">
        <f>IF(AND(HOUR(O195)&gt;=1,HOUR(O195)&lt;=13),VLOOKUP(B195,Programacion!$A$8:$S$1048576,16,FALSE),VLOOKUP(B195,Programacion!$A$8:$S$1048576,18,FALSE))</f>
        <v>#N/A</v>
      </c>
      <c r="AG195" t="e">
        <f>IF(AND(HOUR(O195)&gt;=1,HOUR(O195)&lt;=13),VLOOKUP(B195,Programacion!$A$8:$S$1048576,17,FALSE),VLOOKUP(B195,Programacion!$A$8:$S$1048576,19,FALSE))</f>
        <v>#N/A</v>
      </c>
    </row>
    <row r="196" spans="1:33" x14ac:dyDescent="0.25">
      <c r="A196" s="33" t="s">
        <v>84</v>
      </c>
      <c r="B196" t="s">
        <v>505</v>
      </c>
      <c r="C196" t="s">
        <v>1188</v>
      </c>
      <c r="D196" t="s">
        <v>557</v>
      </c>
      <c r="E196" t="s">
        <v>558</v>
      </c>
      <c r="F196" t="s">
        <v>1189</v>
      </c>
      <c r="G196" t="s">
        <v>560</v>
      </c>
      <c r="H196" t="s">
        <v>561</v>
      </c>
      <c r="I196" t="s">
        <v>1190</v>
      </c>
      <c r="L196" t="s">
        <v>563</v>
      </c>
      <c r="M196" t="s">
        <v>564</v>
      </c>
      <c r="N196" t="s">
        <v>573</v>
      </c>
      <c r="O196" t="s">
        <v>627</v>
      </c>
      <c r="P196" t="s">
        <v>1191</v>
      </c>
      <c r="Q196" t="s">
        <v>704</v>
      </c>
      <c r="R196" t="s">
        <v>704</v>
      </c>
      <c r="S196" t="s">
        <v>878</v>
      </c>
      <c r="T196" t="s">
        <v>1192</v>
      </c>
      <c r="U196" t="s">
        <v>1193</v>
      </c>
      <c r="V196" t="s">
        <v>1194</v>
      </c>
      <c r="W196" t="s">
        <v>945</v>
      </c>
      <c r="X196" t="s">
        <v>564</v>
      </c>
      <c r="Y196" t="s">
        <v>574</v>
      </c>
      <c r="Z196" t="s">
        <v>574</v>
      </c>
      <c r="AA196" t="s">
        <v>565</v>
      </c>
      <c r="AB196" t="s">
        <v>1195</v>
      </c>
      <c r="AC196" t="s">
        <v>576</v>
      </c>
      <c r="AD196" t="s">
        <v>599</v>
      </c>
      <c r="AE196" t="s">
        <v>600</v>
      </c>
      <c r="AF196" t="e">
        <f>IF(AND(HOUR(O196)&gt;=1,HOUR(O196)&lt;=13),VLOOKUP(B196,Programacion!$A$8:$S$1048576,16,FALSE),VLOOKUP(B196,Programacion!$A$8:$S$1048576,18,FALSE))</f>
        <v>#N/A</v>
      </c>
      <c r="AG196" t="e">
        <f>IF(AND(HOUR(O196)&gt;=1,HOUR(O196)&lt;=13),VLOOKUP(B196,Programacion!$A$8:$S$1048576,17,FALSE),VLOOKUP(B196,Programacion!$A$8:$S$1048576,19,FALSE))</f>
        <v>#N/A</v>
      </c>
    </row>
    <row r="197" spans="1:33" x14ac:dyDescent="0.25">
      <c r="A197" s="33" t="s">
        <v>84</v>
      </c>
      <c r="B197" t="s">
        <v>505</v>
      </c>
      <c r="C197" t="s">
        <v>1188</v>
      </c>
      <c r="D197" t="s">
        <v>557</v>
      </c>
      <c r="E197" t="s">
        <v>558</v>
      </c>
      <c r="F197" t="s">
        <v>1189</v>
      </c>
      <c r="G197" t="s">
        <v>560</v>
      </c>
      <c r="H197" t="s">
        <v>561</v>
      </c>
      <c r="I197" t="s">
        <v>1190</v>
      </c>
      <c r="L197" t="s">
        <v>563</v>
      </c>
      <c r="M197" t="s">
        <v>564</v>
      </c>
      <c r="N197" t="s">
        <v>573</v>
      </c>
      <c r="O197" t="s">
        <v>627</v>
      </c>
      <c r="P197" t="s">
        <v>1191</v>
      </c>
      <c r="Q197" t="s">
        <v>704</v>
      </c>
      <c r="R197" t="s">
        <v>704</v>
      </c>
      <c r="S197" t="s">
        <v>878</v>
      </c>
      <c r="T197" t="s">
        <v>1192</v>
      </c>
      <c r="U197" t="s">
        <v>1193</v>
      </c>
      <c r="V197" t="s">
        <v>1194</v>
      </c>
      <c r="W197" t="s">
        <v>945</v>
      </c>
      <c r="X197" t="s">
        <v>564</v>
      </c>
      <c r="Y197" t="s">
        <v>574</v>
      </c>
      <c r="Z197" t="s">
        <v>574</v>
      </c>
      <c r="AA197" t="s">
        <v>565</v>
      </c>
      <c r="AB197" t="s">
        <v>1195</v>
      </c>
      <c r="AC197" t="s">
        <v>588</v>
      </c>
      <c r="AD197" t="s">
        <v>757</v>
      </c>
      <c r="AE197" t="s">
        <v>646</v>
      </c>
      <c r="AF197" t="e">
        <f>IF(AND(HOUR(O197)&gt;=1,HOUR(O197)&lt;=13),VLOOKUP(B197,Programacion!$A$8:$S$1048576,16,FALSE),VLOOKUP(B197,Programacion!$A$8:$S$1048576,18,FALSE))</f>
        <v>#N/A</v>
      </c>
      <c r="AG197" t="e">
        <f>IF(AND(HOUR(O197)&gt;=1,HOUR(O197)&lt;=13),VLOOKUP(B197,Programacion!$A$8:$S$1048576,17,FALSE),VLOOKUP(B197,Programacion!$A$8:$S$1048576,19,FALSE))</f>
        <v>#N/A</v>
      </c>
    </row>
    <row r="198" spans="1:33" x14ac:dyDescent="0.25">
      <c r="A198" s="33" t="s">
        <v>84</v>
      </c>
      <c r="B198" t="s">
        <v>505</v>
      </c>
      <c r="C198" t="s">
        <v>1188</v>
      </c>
      <c r="D198" t="s">
        <v>557</v>
      </c>
      <c r="E198" t="s">
        <v>558</v>
      </c>
      <c r="F198" t="s">
        <v>1189</v>
      </c>
      <c r="G198" t="s">
        <v>560</v>
      </c>
      <c r="H198" t="s">
        <v>561</v>
      </c>
      <c r="I198" t="s">
        <v>1190</v>
      </c>
      <c r="L198" t="s">
        <v>563</v>
      </c>
      <c r="M198" t="s">
        <v>564</v>
      </c>
      <c r="N198" t="s">
        <v>573</v>
      </c>
      <c r="O198" t="s">
        <v>627</v>
      </c>
      <c r="P198" t="s">
        <v>1191</v>
      </c>
      <c r="Q198" t="s">
        <v>704</v>
      </c>
      <c r="R198" t="s">
        <v>704</v>
      </c>
      <c r="S198" t="s">
        <v>878</v>
      </c>
      <c r="T198" t="s">
        <v>1192</v>
      </c>
      <c r="U198" t="s">
        <v>1193</v>
      </c>
      <c r="V198" t="s">
        <v>1194</v>
      </c>
      <c r="W198" t="s">
        <v>945</v>
      </c>
      <c r="X198" t="s">
        <v>564</v>
      </c>
      <c r="Y198" t="s">
        <v>574</v>
      </c>
      <c r="Z198" t="s">
        <v>574</v>
      </c>
      <c r="AA198" t="s">
        <v>565</v>
      </c>
      <c r="AB198" t="s">
        <v>1195</v>
      </c>
      <c r="AC198" t="s">
        <v>596</v>
      </c>
      <c r="AD198" t="s">
        <v>695</v>
      </c>
      <c r="AE198" t="s">
        <v>696</v>
      </c>
      <c r="AF198" t="e">
        <f>IF(AND(HOUR(O198)&gt;=1,HOUR(O198)&lt;=13),VLOOKUP(B198,Programacion!$A$8:$S$1048576,16,FALSE),VLOOKUP(B198,Programacion!$A$8:$S$1048576,18,FALSE))</f>
        <v>#N/A</v>
      </c>
      <c r="AG198" t="e">
        <f>IF(AND(HOUR(O198)&gt;=1,HOUR(O198)&lt;=13),VLOOKUP(B198,Programacion!$A$8:$S$1048576,17,FALSE),VLOOKUP(B198,Programacion!$A$8:$S$1048576,19,FALSE))</f>
        <v>#N/A</v>
      </c>
    </row>
    <row r="199" spans="1:33" x14ac:dyDescent="0.25">
      <c r="A199" s="33" t="s">
        <v>84</v>
      </c>
      <c r="B199" t="s">
        <v>505</v>
      </c>
      <c r="C199" t="s">
        <v>1188</v>
      </c>
      <c r="D199" t="s">
        <v>557</v>
      </c>
      <c r="E199" t="s">
        <v>558</v>
      </c>
      <c r="F199" t="s">
        <v>1196</v>
      </c>
      <c r="G199" t="s">
        <v>560</v>
      </c>
      <c r="H199" t="s">
        <v>561</v>
      </c>
      <c r="I199" t="s">
        <v>1197</v>
      </c>
      <c r="L199" t="s">
        <v>942</v>
      </c>
      <c r="M199" t="s">
        <v>564</v>
      </c>
      <c r="N199" t="s">
        <v>573</v>
      </c>
      <c r="O199" t="s">
        <v>848</v>
      </c>
      <c r="P199" t="s">
        <v>854</v>
      </c>
      <c r="Q199" t="s">
        <v>704</v>
      </c>
      <c r="R199" t="s">
        <v>704</v>
      </c>
      <c r="S199" t="s">
        <v>878</v>
      </c>
      <c r="T199" t="s">
        <v>1198</v>
      </c>
      <c r="U199" t="s">
        <v>718</v>
      </c>
      <c r="V199" t="s">
        <v>1199</v>
      </c>
      <c r="W199" t="s">
        <v>564</v>
      </c>
      <c r="X199" t="s">
        <v>564</v>
      </c>
      <c r="Y199" t="s">
        <v>574</v>
      </c>
      <c r="Z199" t="s">
        <v>574</v>
      </c>
      <c r="AA199" t="s">
        <v>565</v>
      </c>
      <c r="AB199" t="s">
        <v>822</v>
      </c>
      <c r="AC199" t="s">
        <v>576</v>
      </c>
      <c r="AD199" t="s">
        <v>599</v>
      </c>
      <c r="AE199" t="s">
        <v>651</v>
      </c>
      <c r="AF199" t="e">
        <f>IF(AND(HOUR(O199)&gt;=1,HOUR(O199)&lt;=13),VLOOKUP(B199,Programacion!$A$8:$S$1048576,16,FALSE),VLOOKUP(B199,Programacion!$A$8:$S$1048576,18,FALSE))</f>
        <v>#N/A</v>
      </c>
      <c r="AG199" t="e">
        <f>IF(AND(HOUR(O199)&gt;=1,HOUR(O199)&lt;=13),VLOOKUP(B199,Programacion!$A$8:$S$1048576,17,FALSE),VLOOKUP(B199,Programacion!$A$8:$S$1048576,19,FALSE))</f>
        <v>#N/A</v>
      </c>
    </row>
    <row r="200" spans="1:33" x14ac:dyDescent="0.25">
      <c r="A200" s="33" t="s">
        <v>84</v>
      </c>
      <c r="B200" t="s">
        <v>505</v>
      </c>
      <c r="C200" t="s">
        <v>1188</v>
      </c>
      <c r="D200" t="s">
        <v>557</v>
      </c>
      <c r="E200" t="s">
        <v>558</v>
      </c>
      <c r="F200" t="s">
        <v>1196</v>
      </c>
      <c r="G200" t="s">
        <v>560</v>
      </c>
      <c r="H200" t="s">
        <v>561</v>
      </c>
      <c r="I200" t="s">
        <v>1197</v>
      </c>
      <c r="L200" t="s">
        <v>942</v>
      </c>
      <c r="M200" t="s">
        <v>564</v>
      </c>
      <c r="N200" t="s">
        <v>573</v>
      </c>
      <c r="O200" t="s">
        <v>848</v>
      </c>
      <c r="P200" t="s">
        <v>854</v>
      </c>
      <c r="Q200" t="s">
        <v>704</v>
      </c>
      <c r="R200" t="s">
        <v>704</v>
      </c>
      <c r="S200" t="s">
        <v>878</v>
      </c>
      <c r="T200" t="s">
        <v>1198</v>
      </c>
      <c r="U200" t="s">
        <v>718</v>
      </c>
      <c r="V200" t="s">
        <v>1199</v>
      </c>
      <c r="W200" t="s">
        <v>564</v>
      </c>
      <c r="X200" t="s">
        <v>564</v>
      </c>
      <c r="Y200" t="s">
        <v>574</v>
      </c>
      <c r="Z200" t="s">
        <v>574</v>
      </c>
      <c r="AA200" t="s">
        <v>565</v>
      </c>
      <c r="AB200" t="s">
        <v>822</v>
      </c>
      <c r="AC200" t="s">
        <v>588</v>
      </c>
      <c r="AD200" t="s">
        <v>695</v>
      </c>
      <c r="AE200" t="s">
        <v>663</v>
      </c>
      <c r="AF200" t="e">
        <f>IF(AND(HOUR(O200)&gt;=1,HOUR(O200)&lt;=13),VLOOKUP(B200,Programacion!$A$8:$S$1048576,16,FALSE),VLOOKUP(B200,Programacion!$A$8:$S$1048576,18,FALSE))</f>
        <v>#N/A</v>
      </c>
      <c r="AG200" t="e">
        <f>IF(AND(HOUR(O200)&gt;=1,HOUR(O200)&lt;=13),VLOOKUP(B200,Programacion!$A$8:$S$1048576,17,FALSE),VLOOKUP(B200,Programacion!$A$8:$S$1048576,19,FALSE))</f>
        <v>#N/A</v>
      </c>
    </row>
    <row r="201" spans="1:33" x14ac:dyDescent="0.25">
      <c r="A201" s="33" t="s">
        <v>84</v>
      </c>
      <c r="B201" t="s">
        <v>505</v>
      </c>
      <c r="C201" t="s">
        <v>1188</v>
      </c>
      <c r="D201" t="s">
        <v>557</v>
      </c>
      <c r="E201" t="s">
        <v>558</v>
      </c>
      <c r="F201" t="s">
        <v>1196</v>
      </c>
      <c r="G201" t="s">
        <v>560</v>
      </c>
      <c r="H201" t="s">
        <v>561</v>
      </c>
      <c r="I201" t="s">
        <v>1197</v>
      </c>
      <c r="L201" t="s">
        <v>942</v>
      </c>
      <c r="M201" t="s">
        <v>564</v>
      </c>
      <c r="N201" t="s">
        <v>573</v>
      </c>
      <c r="O201" t="s">
        <v>848</v>
      </c>
      <c r="P201" t="s">
        <v>854</v>
      </c>
      <c r="Q201" t="s">
        <v>704</v>
      </c>
      <c r="R201" t="s">
        <v>704</v>
      </c>
      <c r="S201" t="s">
        <v>878</v>
      </c>
      <c r="T201" t="s">
        <v>1198</v>
      </c>
      <c r="U201" t="s">
        <v>718</v>
      </c>
      <c r="V201" t="s">
        <v>1199</v>
      </c>
      <c r="W201" t="s">
        <v>564</v>
      </c>
      <c r="X201" t="s">
        <v>564</v>
      </c>
      <c r="Y201" t="s">
        <v>574</v>
      </c>
      <c r="Z201" t="s">
        <v>574</v>
      </c>
      <c r="AA201" t="s">
        <v>565</v>
      </c>
      <c r="AB201" t="s">
        <v>822</v>
      </c>
      <c r="AC201" t="s">
        <v>596</v>
      </c>
      <c r="AD201" t="s">
        <v>599</v>
      </c>
      <c r="AE201" t="s">
        <v>600</v>
      </c>
      <c r="AF201" t="e">
        <f>IF(AND(HOUR(O201)&gt;=1,HOUR(O201)&lt;=13),VLOOKUP(B201,Programacion!$A$8:$S$1048576,16,FALSE),VLOOKUP(B201,Programacion!$A$8:$S$1048576,18,FALSE))</f>
        <v>#N/A</v>
      </c>
      <c r="AG201" t="e">
        <f>IF(AND(HOUR(O201)&gt;=1,HOUR(O201)&lt;=13),VLOOKUP(B201,Programacion!$A$8:$S$1048576,17,FALSE),VLOOKUP(B201,Programacion!$A$8:$S$1048576,19,FALSE))</f>
        <v>#N/A</v>
      </c>
    </row>
    <row r="202" spans="1:33" x14ac:dyDescent="0.25">
      <c r="A202" s="33" t="s">
        <v>84</v>
      </c>
      <c r="B202" t="s">
        <v>505</v>
      </c>
      <c r="C202" t="s">
        <v>1188</v>
      </c>
      <c r="D202" t="s">
        <v>557</v>
      </c>
      <c r="E202" t="s">
        <v>558</v>
      </c>
      <c r="F202" t="s">
        <v>1196</v>
      </c>
      <c r="G202" t="s">
        <v>560</v>
      </c>
      <c r="H202" t="s">
        <v>561</v>
      </c>
      <c r="I202" t="s">
        <v>1197</v>
      </c>
      <c r="L202" t="s">
        <v>942</v>
      </c>
      <c r="M202" t="s">
        <v>564</v>
      </c>
      <c r="N202" t="s">
        <v>573</v>
      </c>
      <c r="O202" t="s">
        <v>848</v>
      </c>
      <c r="P202" t="s">
        <v>854</v>
      </c>
      <c r="Q202" t="s">
        <v>704</v>
      </c>
      <c r="R202" t="s">
        <v>704</v>
      </c>
      <c r="S202" t="s">
        <v>878</v>
      </c>
      <c r="T202" t="s">
        <v>1198</v>
      </c>
      <c r="U202" t="s">
        <v>718</v>
      </c>
      <c r="V202" t="s">
        <v>1199</v>
      </c>
      <c r="W202" t="s">
        <v>564</v>
      </c>
      <c r="X202" t="s">
        <v>564</v>
      </c>
      <c r="Y202" t="s">
        <v>574</v>
      </c>
      <c r="Z202" t="s">
        <v>574</v>
      </c>
      <c r="AA202" t="s">
        <v>565</v>
      </c>
      <c r="AB202" t="s">
        <v>822</v>
      </c>
      <c r="AC202" t="s">
        <v>598</v>
      </c>
      <c r="AD202" t="s">
        <v>798</v>
      </c>
      <c r="AE202" t="s">
        <v>647</v>
      </c>
      <c r="AF202" t="e">
        <f>IF(AND(HOUR(O202)&gt;=1,HOUR(O202)&lt;=13),VLOOKUP(B202,Programacion!$A$8:$S$1048576,16,FALSE),VLOOKUP(B202,Programacion!$A$8:$S$1048576,18,FALSE))</f>
        <v>#N/A</v>
      </c>
      <c r="AG202" t="e">
        <f>IF(AND(HOUR(O202)&gt;=1,HOUR(O202)&lt;=13),VLOOKUP(B202,Programacion!$A$8:$S$1048576,17,FALSE),VLOOKUP(B202,Programacion!$A$8:$S$1048576,19,FALSE))</f>
        <v>#N/A</v>
      </c>
    </row>
    <row r="203" spans="1:33" x14ac:dyDescent="0.25">
      <c r="A203" s="33" t="s">
        <v>84</v>
      </c>
      <c r="B203" t="s">
        <v>505</v>
      </c>
      <c r="C203" t="s">
        <v>1188</v>
      </c>
      <c r="D203" t="s">
        <v>557</v>
      </c>
      <c r="E203" t="s">
        <v>558</v>
      </c>
      <c r="F203" t="s">
        <v>1196</v>
      </c>
      <c r="G203" t="s">
        <v>560</v>
      </c>
      <c r="H203" t="s">
        <v>561</v>
      </c>
      <c r="I203" t="s">
        <v>1197</v>
      </c>
      <c r="L203" t="s">
        <v>942</v>
      </c>
      <c r="M203" t="s">
        <v>564</v>
      </c>
      <c r="N203" t="s">
        <v>573</v>
      </c>
      <c r="O203" t="s">
        <v>848</v>
      </c>
      <c r="P203" t="s">
        <v>854</v>
      </c>
      <c r="Q203" t="s">
        <v>704</v>
      </c>
      <c r="R203" t="s">
        <v>704</v>
      </c>
      <c r="S203" t="s">
        <v>878</v>
      </c>
      <c r="T203" t="s">
        <v>1200</v>
      </c>
      <c r="U203" t="s">
        <v>1201</v>
      </c>
      <c r="V203" t="s">
        <v>1202</v>
      </c>
      <c r="W203" t="s">
        <v>573</v>
      </c>
      <c r="X203" t="s">
        <v>564</v>
      </c>
      <c r="Y203" t="s">
        <v>574</v>
      </c>
      <c r="Z203" t="s">
        <v>574</v>
      </c>
      <c r="AA203" t="s">
        <v>565</v>
      </c>
      <c r="AB203" t="s">
        <v>1203</v>
      </c>
      <c r="AC203" t="s">
        <v>596</v>
      </c>
      <c r="AD203" t="s">
        <v>695</v>
      </c>
      <c r="AE203" t="s">
        <v>696</v>
      </c>
      <c r="AF203" t="e">
        <f>IF(AND(HOUR(O203)&gt;=1,HOUR(O203)&lt;=13),VLOOKUP(B203,Programacion!$A$8:$S$1048576,16,FALSE),VLOOKUP(B203,Programacion!$A$8:$S$1048576,18,FALSE))</f>
        <v>#N/A</v>
      </c>
      <c r="AG203" t="e">
        <f>IF(AND(HOUR(O203)&gt;=1,HOUR(O203)&lt;=13),VLOOKUP(B203,Programacion!$A$8:$S$1048576,17,FALSE),VLOOKUP(B203,Programacion!$A$8:$S$1048576,19,FALSE))</f>
        <v>#N/A</v>
      </c>
    </row>
    <row r="204" spans="1:33" x14ac:dyDescent="0.25">
      <c r="A204" s="33" t="s">
        <v>84</v>
      </c>
      <c r="B204" t="s">
        <v>505</v>
      </c>
      <c r="C204" t="s">
        <v>1188</v>
      </c>
      <c r="D204" t="s">
        <v>557</v>
      </c>
      <c r="E204" t="s">
        <v>558</v>
      </c>
      <c r="F204" t="s">
        <v>1196</v>
      </c>
      <c r="G204" t="s">
        <v>560</v>
      </c>
      <c r="H204" t="s">
        <v>561</v>
      </c>
      <c r="I204" t="s">
        <v>1197</v>
      </c>
      <c r="L204" t="s">
        <v>942</v>
      </c>
      <c r="M204" t="s">
        <v>564</v>
      </c>
      <c r="N204" t="s">
        <v>573</v>
      </c>
      <c r="O204" t="s">
        <v>848</v>
      </c>
      <c r="P204" t="s">
        <v>854</v>
      </c>
      <c r="Q204" t="s">
        <v>704</v>
      </c>
      <c r="R204" t="s">
        <v>704</v>
      </c>
      <c r="S204" t="s">
        <v>878</v>
      </c>
      <c r="T204" t="s">
        <v>1200</v>
      </c>
      <c r="U204" t="s">
        <v>1201</v>
      </c>
      <c r="V204" t="s">
        <v>1202</v>
      </c>
      <c r="W204" t="s">
        <v>573</v>
      </c>
      <c r="X204" t="s">
        <v>564</v>
      </c>
      <c r="Y204" t="s">
        <v>574</v>
      </c>
      <c r="Z204" t="s">
        <v>574</v>
      </c>
      <c r="AA204" t="s">
        <v>565</v>
      </c>
      <c r="AB204" t="s">
        <v>1203</v>
      </c>
      <c r="AC204" t="s">
        <v>598</v>
      </c>
      <c r="AD204" t="s">
        <v>798</v>
      </c>
      <c r="AE204" t="s">
        <v>618</v>
      </c>
      <c r="AF204" t="e">
        <f>IF(AND(HOUR(O204)&gt;=1,HOUR(O204)&lt;=13),VLOOKUP(B204,Programacion!$A$8:$S$1048576,16,FALSE),VLOOKUP(B204,Programacion!$A$8:$S$1048576,18,FALSE))</f>
        <v>#N/A</v>
      </c>
      <c r="AG204" t="e">
        <f>IF(AND(HOUR(O204)&gt;=1,HOUR(O204)&lt;=13),VLOOKUP(B204,Programacion!$A$8:$S$1048576,17,FALSE),VLOOKUP(B204,Programacion!$A$8:$S$1048576,19,FALSE))</f>
        <v>#N/A</v>
      </c>
    </row>
    <row r="205" spans="1:33" x14ac:dyDescent="0.25">
      <c r="A205" s="33" t="s">
        <v>82</v>
      </c>
      <c r="B205" t="s">
        <v>474</v>
      </c>
      <c r="C205" t="s">
        <v>1204</v>
      </c>
      <c r="D205" t="s">
        <v>557</v>
      </c>
      <c r="E205" t="s">
        <v>558</v>
      </c>
      <c r="F205" t="s">
        <v>1205</v>
      </c>
      <c r="G205" t="s">
        <v>560</v>
      </c>
      <c r="H205" t="s">
        <v>561</v>
      </c>
      <c r="I205" t="s">
        <v>1206</v>
      </c>
      <c r="L205" t="s">
        <v>701</v>
      </c>
      <c r="M205" t="s">
        <v>564</v>
      </c>
      <c r="N205" t="s">
        <v>573</v>
      </c>
      <c r="O205" t="s">
        <v>631</v>
      </c>
      <c r="P205" t="s">
        <v>605</v>
      </c>
      <c r="Q205" t="s">
        <v>704</v>
      </c>
      <c r="R205" t="s">
        <v>704</v>
      </c>
      <c r="S205" t="s">
        <v>705</v>
      </c>
      <c r="T205" t="s">
        <v>1207</v>
      </c>
      <c r="U205" t="s">
        <v>1119</v>
      </c>
      <c r="V205" t="s">
        <v>1208</v>
      </c>
      <c r="W205" t="s">
        <v>586</v>
      </c>
      <c r="X205" t="s">
        <v>564</v>
      </c>
      <c r="Y205" t="s">
        <v>574</v>
      </c>
      <c r="Z205" t="s">
        <v>574</v>
      </c>
      <c r="AA205" t="s">
        <v>565</v>
      </c>
      <c r="AB205" t="s">
        <v>1058</v>
      </c>
      <c r="AC205" t="s">
        <v>576</v>
      </c>
      <c r="AD205" t="s">
        <v>781</v>
      </c>
      <c r="AE205" t="s">
        <v>758</v>
      </c>
      <c r="AF205" t="str">
        <f>IF(AND(HOUR(O205)&gt;=1,HOUR(O205)&lt;=13),VLOOKUP(B205,Programacion!$A$8:$S$1048576,16,FALSE),VLOOKUP(B205,Programacion!$A$8:$S$1048576,18,FALSE))</f>
        <v xml:space="preserve">  1470</v>
      </c>
      <c r="AG205" t="str">
        <f>IF(AND(HOUR(O205)&gt;=1,HOUR(O205)&lt;=13),VLOOKUP(B205,Programacion!$A$8:$S$1048576,17,FALSE),VLOOKUP(B205,Programacion!$A$8:$S$1048576,19,FALSE))</f>
        <v>GB01</v>
      </c>
    </row>
    <row r="206" spans="1:33" x14ac:dyDescent="0.25">
      <c r="A206" s="33" t="s">
        <v>82</v>
      </c>
      <c r="B206" t="s">
        <v>474</v>
      </c>
      <c r="C206" t="s">
        <v>1204</v>
      </c>
      <c r="D206" t="s">
        <v>557</v>
      </c>
      <c r="E206" t="s">
        <v>558</v>
      </c>
      <c r="F206" t="s">
        <v>1205</v>
      </c>
      <c r="G206" t="s">
        <v>560</v>
      </c>
      <c r="H206" t="s">
        <v>561</v>
      </c>
      <c r="I206" t="s">
        <v>1206</v>
      </c>
      <c r="L206" t="s">
        <v>701</v>
      </c>
      <c r="M206" t="s">
        <v>564</v>
      </c>
      <c r="N206" t="s">
        <v>573</v>
      </c>
      <c r="O206" t="s">
        <v>631</v>
      </c>
      <c r="P206" t="s">
        <v>605</v>
      </c>
      <c r="Q206" t="s">
        <v>704</v>
      </c>
      <c r="R206" t="s">
        <v>704</v>
      </c>
      <c r="S206" t="s">
        <v>705</v>
      </c>
      <c r="T206" t="s">
        <v>1207</v>
      </c>
      <c r="U206" t="s">
        <v>1119</v>
      </c>
      <c r="V206" t="s">
        <v>1208</v>
      </c>
      <c r="W206" t="s">
        <v>586</v>
      </c>
      <c r="X206" t="s">
        <v>564</v>
      </c>
      <c r="Y206" t="s">
        <v>574</v>
      </c>
      <c r="Z206" t="s">
        <v>574</v>
      </c>
      <c r="AA206" t="s">
        <v>565</v>
      </c>
      <c r="AB206" t="s">
        <v>1058</v>
      </c>
      <c r="AC206" t="s">
        <v>588</v>
      </c>
      <c r="AD206" t="s">
        <v>783</v>
      </c>
      <c r="AE206" t="s">
        <v>1209</v>
      </c>
      <c r="AF206" t="str">
        <f>IF(AND(HOUR(O206)&gt;=1,HOUR(O206)&lt;=13),VLOOKUP(B206,Programacion!$A$8:$S$1048576,16,FALSE),VLOOKUP(B206,Programacion!$A$8:$S$1048576,18,FALSE))</f>
        <v xml:space="preserve">  1470</v>
      </c>
      <c r="AG206" t="str">
        <f>IF(AND(HOUR(O206)&gt;=1,HOUR(O206)&lt;=13),VLOOKUP(B206,Programacion!$A$8:$S$1048576,17,FALSE),VLOOKUP(B206,Programacion!$A$8:$S$1048576,19,FALSE))</f>
        <v>GB01</v>
      </c>
    </row>
    <row r="207" spans="1:33" x14ac:dyDescent="0.25">
      <c r="A207" s="33" t="s">
        <v>82</v>
      </c>
      <c r="B207" t="s">
        <v>474</v>
      </c>
      <c r="C207" t="s">
        <v>1204</v>
      </c>
      <c r="D207" t="s">
        <v>557</v>
      </c>
      <c r="E207" t="s">
        <v>558</v>
      </c>
      <c r="F207" t="s">
        <v>1210</v>
      </c>
      <c r="G207" t="s">
        <v>560</v>
      </c>
      <c r="H207" t="s">
        <v>561</v>
      </c>
      <c r="I207" t="s">
        <v>1211</v>
      </c>
      <c r="L207" t="s">
        <v>710</v>
      </c>
      <c r="M207" t="s">
        <v>564</v>
      </c>
      <c r="N207" t="s">
        <v>573</v>
      </c>
      <c r="O207" t="s">
        <v>1038</v>
      </c>
      <c r="P207" t="s">
        <v>864</v>
      </c>
      <c r="Q207" t="s">
        <v>704</v>
      </c>
      <c r="R207" t="s">
        <v>704</v>
      </c>
      <c r="S207" t="s">
        <v>705</v>
      </c>
      <c r="T207" t="s">
        <v>1212</v>
      </c>
      <c r="U207" t="s">
        <v>584</v>
      </c>
      <c r="V207" t="s">
        <v>1213</v>
      </c>
      <c r="W207" t="s">
        <v>573</v>
      </c>
      <c r="X207" t="s">
        <v>564</v>
      </c>
      <c r="Y207" t="s">
        <v>574</v>
      </c>
      <c r="Z207" t="s">
        <v>574</v>
      </c>
      <c r="AA207" t="s">
        <v>565</v>
      </c>
      <c r="AB207" t="s">
        <v>587</v>
      </c>
      <c r="AC207" t="s">
        <v>588</v>
      </c>
      <c r="AD207" t="s">
        <v>886</v>
      </c>
      <c r="AE207" t="s">
        <v>1214</v>
      </c>
      <c r="AF207" t="str">
        <f>IF(AND(HOUR(O207)&gt;=1,HOUR(O207)&lt;=13),VLOOKUP(B207,Programacion!$A$8:$S$1048576,16,FALSE),VLOOKUP(B207,Programacion!$A$8:$S$1048576,18,FALSE))</f>
        <v xml:space="preserve">  1470</v>
      </c>
      <c r="AG207" t="str">
        <f>IF(AND(HOUR(O207)&gt;=1,HOUR(O207)&lt;=13),VLOOKUP(B207,Programacion!$A$8:$S$1048576,17,FALSE),VLOOKUP(B207,Programacion!$A$8:$S$1048576,19,FALSE))</f>
        <v>GB01</v>
      </c>
    </row>
    <row r="208" spans="1:33" x14ac:dyDescent="0.25">
      <c r="A208" s="33" t="s">
        <v>82</v>
      </c>
      <c r="B208" t="s">
        <v>474</v>
      </c>
      <c r="C208" t="s">
        <v>1204</v>
      </c>
      <c r="D208" t="s">
        <v>557</v>
      </c>
      <c r="E208" t="s">
        <v>558</v>
      </c>
      <c r="F208" t="s">
        <v>1210</v>
      </c>
      <c r="G208" t="s">
        <v>560</v>
      </c>
      <c r="H208" t="s">
        <v>561</v>
      </c>
      <c r="I208" t="s">
        <v>1211</v>
      </c>
      <c r="L208" t="s">
        <v>710</v>
      </c>
      <c r="M208" t="s">
        <v>564</v>
      </c>
      <c r="N208" t="s">
        <v>573</v>
      </c>
      <c r="O208" t="s">
        <v>1038</v>
      </c>
      <c r="P208" t="s">
        <v>864</v>
      </c>
      <c r="Q208" t="s">
        <v>704</v>
      </c>
      <c r="R208" t="s">
        <v>704</v>
      </c>
      <c r="S208" t="s">
        <v>705</v>
      </c>
      <c r="T208" t="s">
        <v>1215</v>
      </c>
      <c r="U208" t="s">
        <v>777</v>
      </c>
      <c r="V208" t="s">
        <v>1216</v>
      </c>
      <c r="W208" t="s">
        <v>1091</v>
      </c>
      <c r="X208" t="s">
        <v>564</v>
      </c>
      <c r="Y208" t="s">
        <v>574</v>
      </c>
      <c r="Z208" t="s">
        <v>574</v>
      </c>
      <c r="AA208" t="s">
        <v>565</v>
      </c>
      <c r="AB208" t="s">
        <v>780</v>
      </c>
      <c r="AC208" t="s">
        <v>576</v>
      </c>
      <c r="AD208" t="s">
        <v>599</v>
      </c>
      <c r="AE208" t="s">
        <v>647</v>
      </c>
      <c r="AF208" t="str">
        <f>IF(AND(HOUR(O208)&gt;=1,HOUR(O208)&lt;=13),VLOOKUP(B208,Programacion!$A$8:$S$1048576,16,FALSE),VLOOKUP(B208,Programacion!$A$8:$S$1048576,18,FALSE))</f>
        <v xml:space="preserve">  1470</v>
      </c>
      <c r="AG208" t="str">
        <f>IF(AND(HOUR(O208)&gt;=1,HOUR(O208)&lt;=13),VLOOKUP(B208,Programacion!$A$8:$S$1048576,17,FALSE),VLOOKUP(B208,Programacion!$A$8:$S$1048576,19,FALSE))</f>
        <v>GB01</v>
      </c>
    </row>
    <row r="209" spans="1:33" x14ac:dyDescent="0.25">
      <c r="A209" s="33" t="s">
        <v>82</v>
      </c>
      <c r="B209" t="s">
        <v>474</v>
      </c>
      <c r="C209" t="s">
        <v>1204</v>
      </c>
      <c r="D209" t="s">
        <v>557</v>
      </c>
      <c r="E209" t="s">
        <v>558</v>
      </c>
      <c r="F209" t="s">
        <v>1210</v>
      </c>
      <c r="G209" t="s">
        <v>560</v>
      </c>
      <c r="H209" t="s">
        <v>561</v>
      </c>
      <c r="I209" t="s">
        <v>1211</v>
      </c>
      <c r="L209" t="s">
        <v>710</v>
      </c>
      <c r="M209" t="s">
        <v>564</v>
      </c>
      <c r="N209" t="s">
        <v>573</v>
      </c>
      <c r="O209" t="s">
        <v>1038</v>
      </c>
      <c r="P209" t="s">
        <v>864</v>
      </c>
      <c r="Q209" t="s">
        <v>704</v>
      </c>
      <c r="R209" t="s">
        <v>704</v>
      </c>
      <c r="S209" t="s">
        <v>705</v>
      </c>
      <c r="T209" t="s">
        <v>1215</v>
      </c>
      <c r="U209" t="s">
        <v>777</v>
      </c>
      <c r="V209" t="s">
        <v>1216</v>
      </c>
      <c r="W209" t="s">
        <v>1091</v>
      </c>
      <c r="X209" t="s">
        <v>564</v>
      </c>
      <c r="Y209" t="s">
        <v>574</v>
      </c>
      <c r="Z209" t="s">
        <v>574</v>
      </c>
      <c r="AA209" t="s">
        <v>565</v>
      </c>
      <c r="AB209" t="s">
        <v>780</v>
      </c>
      <c r="AC209" t="s">
        <v>598</v>
      </c>
      <c r="AD209" t="s">
        <v>695</v>
      </c>
      <c r="AE209" t="s">
        <v>696</v>
      </c>
      <c r="AF209" t="str">
        <f>IF(AND(HOUR(O209)&gt;=1,HOUR(O209)&lt;=13),VLOOKUP(B209,Programacion!$A$8:$S$1048576,16,FALSE),VLOOKUP(B209,Programacion!$A$8:$S$1048576,18,FALSE))</f>
        <v xml:space="preserve">  1470</v>
      </c>
      <c r="AG209" t="str">
        <f>IF(AND(HOUR(O209)&gt;=1,HOUR(O209)&lt;=13),VLOOKUP(B209,Programacion!$A$8:$S$1048576,17,FALSE),VLOOKUP(B209,Programacion!$A$8:$S$1048576,19,FALSE))</f>
        <v>GB01</v>
      </c>
    </row>
    <row r="210" spans="1:33" x14ac:dyDescent="0.25">
      <c r="A210" s="33" t="s">
        <v>82</v>
      </c>
      <c r="B210" t="s">
        <v>474</v>
      </c>
      <c r="C210" t="s">
        <v>1204</v>
      </c>
      <c r="D210" t="s">
        <v>557</v>
      </c>
      <c r="E210" t="s">
        <v>558</v>
      </c>
      <c r="F210" t="s">
        <v>1217</v>
      </c>
      <c r="G210" t="s">
        <v>560</v>
      </c>
      <c r="H210" t="s">
        <v>561</v>
      </c>
      <c r="I210" t="s">
        <v>1218</v>
      </c>
      <c r="L210" t="s">
        <v>737</v>
      </c>
      <c r="M210" t="s">
        <v>564</v>
      </c>
      <c r="N210" t="s">
        <v>573</v>
      </c>
      <c r="O210" t="s">
        <v>609</v>
      </c>
      <c r="P210" t="s">
        <v>642</v>
      </c>
      <c r="Q210" t="s">
        <v>704</v>
      </c>
      <c r="R210" t="s">
        <v>704</v>
      </c>
      <c r="S210" t="s">
        <v>705</v>
      </c>
      <c r="T210" t="s">
        <v>1219</v>
      </c>
      <c r="U210" t="s">
        <v>680</v>
      </c>
      <c r="V210" t="s">
        <v>1220</v>
      </c>
      <c r="W210" t="s">
        <v>645</v>
      </c>
      <c r="X210" t="s">
        <v>564</v>
      </c>
      <c r="Y210" t="s">
        <v>574</v>
      </c>
      <c r="Z210" t="s">
        <v>574</v>
      </c>
      <c r="AA210" t="s">
        <v>565</v>
      </c>
      <c r="AB210" t="s">
        <v>683</v>
      </c>
      <c r="AC210" t="s">
        <v>576</v>
      </c>
      <c r="AD210" t="s">
        <v>599</v>
      </c>
      <c r="AE210" t="s">
        <v>647</v>
      </c>
      <c r="AF210" t="e">
        <f>IF(AND(HOUR(O210)&gt;=1,HOUR(O210)&lt;=13),VLOOKUP(B210,Programacion!$A$8:$S$1048576,16,FALSE),VLOOKUP(B210,Programacion!$A$8:$S$1048576,18,FALSE))</f>
        <v>#N/A</v>
      </c>
      <c r="AG210" t="e">
        <f>IF(AND(HOUR(O210)&gt;=1,HOUR(O210)&lt;=13),VLOOKUP(B210,Programacion!$A$8:$S$1048576,17,FALSE),VLOOKUP(B210,Programacion!$A$8:$S$1048576,19,FALSE))</f>
        <v>#N/A</v>
      </c>
    </row>
    <row r="211" spans="1:33" x14ac:dyDescent="0.25">
      <c r="A211" s="33" t="s">
        <v>82</v>
      </c>
      <c r="B211" t="s">
        <v>474</v>
      </c>
      <c r="C211" t="s">
        <v>1204</v>
      </c>
      <c r="D211" t="s">
        <v>557</v>
      </c>
      <c r="E211" t="s">
        <v>558</v>
      </c>
      <c r="F211" t="s">
        <v>1217</v>
      </c>
      <c r="G211" t="s">
        <v>560</v>
      </c>
      <c r="H211" t="s">
        <v>561</v>
      </c>
      <c r="I211" t="s">
        <v>1218</v>
      </c>
      <c r="L211" t="s">
        <v>737</v>
      </c>
      <c r="M211" t="s">
        <v>564</v>
      </c>
      <c r="N211" t="s">
        <v>573</v>
      </c>
      <c r="O211" t="s">
        <v>609</v>
      </c>
      <c r="P211" t="s">
        <v>642</v>
      </c>
      <c r="Q211" t="s">
        <v>704</v>
      </c>
      <c r="R211" t="s">
        <v>704</v>
      </c>
      <c r="S211" t="s">
        <v>705</v>
      </c>
      <c r="T211" t="s">
        <v>1219</v>
      </c>
      <c r="U211" t="s">
        <v>680</v>
      </c>
      <c r="V211" t="s">
        <v>1220</v>
      </c>
      <c r="W211" t="s">
        <v>645</v>
      </c>
      <c r="X211" t="s">
        <v>564</v>
      </c>
      <c r="Y211" t="s">
        <v>574</v>
      </c>
      <c r="Z211" t="s">
        <v>574</v>
      </c>
      <c r="AA211" t="s">
        <v>565</v>
      </c>
      <c r="AB211" t="s">
        <v>683</v>
      </c>
      <c r="AC211" t="s">
        <v>596</v>
      </c>
      <c r="AD211" t="s">
        <v>829</v>
      </c>
      <c r="AE211" t="s">
        <v>1221</v>
      </c>
      <c r="AF211" t="e">
        <f>IF(AND(HOUR(O211)&gt;=1,HOUR(O211)&lt;=13),VLOOKUP(B211,Programacion!$A$8:$S$1048576,16,FALSE),VLOOKUP(B211,Programacion!$A$8:$S$1048576,18,FALSE))</f>
        <v>#N/A</v>
      </c>
      <c r="AG211" t="e">
        <f>IF(AND(HOUR(O211)&gt;=1,HOUR(O211)&lt;=13),VLOOKUP(B211,Programacion!$A$8:$S$1048576,17,FALSE),VLOOKUP(B211,Programacion!$A$8:$S$1048576,19,FALSE))</f>
        <v>#N/A</v>
      </c>
    </row>
    <row r="212" spans="1:33" x14ac:dyDescent="0.25">
      <c r="A212" s="33" t="s">
        <v>82</v>
      </c>
      <c r="B212" t="s">
        <v>474</v>
      </c>
      <c r="C212" t="s">
        <v>1204</v>
      </c>
      <c r="D212" t="s">
        <v>557</v>
      </c>
      <c r="E212" t="s">
        <v>558</v>
      </c>
      <c r="F212" t="s">
        <v>1217</v>
      </c>
      <c r="G212" t="s">
        <v>560</v>
      </c>
      <c r="H212" t="s">
        <v>561</v>
      </c>
      <c r="I212" t="s">
        <v>1218</v>
      </c>
      <c r="L212" t="s">
        <v>737</v>
      </c>
      <c r="M212" t="s">
        <v>564</v>
      </c>
      <c r="N212" t="s">
        <v>573</v>
      </c>
      <c r="O212" t="s">
        <v>609</v>
      </c>
      <c r="P212" t="s">
        <v>642</v>
      </c>
      <c r="Q212" t="s">
        <v>704</v>
      </c>
      <c r="R212" t="s">
        <v>704</v>
      </c>
      <c r="S212" t="s">
        <v>705</v>
      </c>
      <c r="T212" t="s">
        <v>1219</v>
      </c>
      <c r="U212" t="s">
        <v>680</v>
      </c>
      <c r="V212" t="s">
        <v>1220</v>
      </c>
      <c r="W212" t="s">
        <v>645</v>
      </c>
      <c r="X212" t="s">
        <v>564</v>
      </c>
      <c r="Y212" t="s">
        <v>574</v>
      </c>
      <c r="Z212" t="s">
        <v>574</v>
      </c>
      <c r="AA212" t="s">
        <v>565</v>
      </c>
      <c r="AB212" t="s">
        <v>683</v>
      </c>
      <c r="AC212" t="s">
        <v>588</v>
      </c>
      <c r="AD212" t="s">
        <v>695</v>
      </c>
      <c r="AE212" t="s">
        <v>663</v>
      </c>
      <c r="AF212" t="e">
        <f>IF(AND(HOUR(O212)&gt;=1,HOUR(O212)&lt;=13),VLOOKUP(B212,Programacion!$A$8:$S$1048576,16,FALSE),VLOOKUP(B212,Programacion!$A$8:$S$1048576,18,FALSE))</f>
        <v>#N/A</v>
      </c>
      <c r="AG212" t="e">
        <f>IF(AND(HOUR(O212)&gt;=1,HOUR(O212)&lt;=13),VLOOKUP(B212,Programacion!$A$8:$S$1048576,17,FALSE),VLOOKUP(B212,Programacion!$A$8:$S$1048576,19,FALSE))</f>
        <v>#N/A</v>
      </c>
    </row>
    <row r="213" spans="1:33" x14ac:dyDescent="0.25">
      <c r="A213" s="33" t="s">
        <v>82</v>
      </c>
      <c r="B213" t="s">
        <v>474</v>
      </c>
      <c r="C213" t="s">
        <v>1204</v>
      </c>
      <c r="D213" t="s">
        <v>557</v>
      </c>
      <c r="E213" t="s">
        <v>558</v>
      </c>
      <c r="F213" t="s">
        <v>1217</v>
      </c>
      <c r="G213" t="s">
        <v>560</v>
      </c>
      <c r="H213" t="s">
        <v>561</v>
      </c>
      <c r="I213" t="s">
        <v>1218</v>
      </c>
      <c r="L213" t="s">
        <v>737</v>
      </c>
      <c r="M213" t="s">
        <v>564</v>
      </c>
      <c r="N213" t="s">
        <v>573</v>
      </c>
      <c r="O213" t="s">
        <v>609</v>
      </c>
      <c r="P213" t="s">
        <v>642</v>
      </c>
      <c r="Q213" t="s">
        <v>704</v>
      </c>
      <c r="R213" t="s">
        <v>704</v>
      </c>
      <c r="S213" t="s">
        <v>705</v>
      </c>
      <c r="T213" t="s">
        <v>1219</v>
      </c>
      <c r="U213" t="s">
        <v>680</v>
      </c>
      <c r="V213" t="s">
        <v>1220</v>
      </c>
      <c r="W213" t="s">
        <v>645</v>
      </c>
      <c r="X213" t="s">
        <v>564</v>
      </c>
      <c r="Y213" t="s">
        <v>574</v>
      </c>
      <c r="Z213" t="s">
        <v>574</v>
      </c>
      <c r="AA213" t="s">
        <v>565</v>
      </c>
      <c r="AB213" t="s">
        <v>683</v>
      </c>
      <c r="AC213" t="s">
        <v>598</v>
      </c>
      <c r="AD213" t="s">
        <v>695</v>
      </c>
      <c r="AE213" t="s">
        <v>618</v>
      </c>
      <c r="AF213" t="e">
        <f>IF(AND(HOUR(O213)&gt;=1,HOUR(O213)&lt;=13),VLOOKUP(B213,Programacion!$A$8:$S$1048576,16,FALSE),VLOOKUP(B213,Programacion!$A$8:$S$1048576,18,FALSE))</f>
        <v>#N/A</v>
      </c>
      <c r="AG213" t="e">
        <f>IF(AND(HOUR(O213)&gt;=1,HOUR(O213)&lt;=13),VLOOKUP(B213,Programacion!$A$8:$S$1048576,17,FALSE),VLOOKUP(B213,Programacion!$A$8:$S$1048576,19,FALSE))</f>
        <v>#N/A</v>
      </c>
    </row>
    <row r="214" spans="1:33" x14ac:dyDescent="0.25">
      <c r="A214" s="33" t="s">
        <v>82</v>
      </c>
      <c r="B214" t="s">
        <v>474</v>
      </c>
      <c r="C214" t="s">
        <v>1204</v>
      </c>
      <c r="D214" t="s">
        <v>557</v>
      </c>
      <c r="E214" t="s">
        <v>558</v>
      </c>
      <c r="F214" t="s">
        <v>1222</v>
      </c>
      <c r="G214" t="s">
        <v>560</v>
      </c>
      <c r="H214" t="s">
        <v>561</v>
      </c>
      <c r="I214" t="s">
        <v>1223</v>
      </c>
      <c r="L214" t="s">
        <v>1138</v>
      </c>
      <c r="M214" t="s">
        <v>564</v>
      </c>
      <c r="N214" t="s">
        <v>573</v>
      </c>
      <c r="O214" t="s">
        <v>1111</v>
      </c>
      <c r="P214" t="s">
        <v>716</v>
      </c>
      <c r="Q214" t="s">
        <v>704</v>
      </c>
      <c r="R214" t="s">
        <v>704</v>
      </c>
      <c r="S214" t="s">
        <v>705</v>
      </c>
      <c r="T214" t="s">
        <v>1224</v>
      </c>
      <c r="U214" t="s">
        <v>871</v>
      </c>
      <c r="V214" t="s">
        <v>1225</v>
      </c>
      <c r="W214" t="s">
        <v>594</v>
      </c>
      <c r="X214" t="s">
        <v>564</v>
      </c>
      <c r="Y214" t="s">
        <v>574</v>
      </c>
      <c r="Z214" t="s">
        <v>574</v>
      </c>
      <c r="AA214" t="s">
        <v>565</v>
      </c>
      <c r="AB214" t="s">
        <v>873</v>
      </c>
      <c r="AC214" t="s">
        <v>598</v>
      </c>
      <c r="AD214" t="s">
        <v>589</v>
      </c>
      <c r="AE214" t="s">
        <v>960</v>
      </c>
      <c r="AF214" t="e">
        <f>IF(AND(HOUR(O214)&gt;=1,HOUR(O214)&lt;=13),VLOOKUP(B214,Programacion!$A$8:$S$1048576,16,FALSE),VLOOKUP(B214,Programacion!$A$8:$S$1048576,18,FALSE))</f>
        <v>#N/A</v>
      </c>
      <c r="AG214" t="e">
        <f>IF(AND(HOUR(O214)&gt;=1,HOUR(O214)&lt;=13),VLOOKUP(B214,Programacion!$A$8:$S$1048576,17,FALSE),VLOOKUP(B214,Programacion!$A$8:$S$1048576,19,FALSE))</f>
        <v>#N/A</v>
      </c>
    </row>
    <row r="215" spans="1:33" x14ac:dyDescent="0.25">
      <c r="A215" s="33" t="s">
        <v>82</v>
      </c>
      <c r="B215" t="s">
        <v>474</v>
      </c>
      <c r="C215" t="s">
        <v>1204</v>
      </c>
      <c r="D215" t="s">
        <v>557</v>
      </c>
      <c r="E215" t="s">
        <v>558</v>
      </c>
      <c r="F215" t="s">
        <v>1222</v>
      </c>
      <c r="G215" t="s">
        <v>560</v>
      </c>
      <c r="H215" t="s">
        <v>561</v>
      </c>
      <c r="I215" t="s">
        <v>1223</v>
      </c>
      <c r="L215" t="s">
        <v>1138</v>
      </c>
      <c r="M215" t="s">
        <v>564</v>
      </c>
      <c r="N215" t="s">
        <v>573</v>
      </c>
      <c r="O215" t="s">
        <v>1111</v>
      </c>
      <c r="P215" t="s">
        <v>716</v>
      </c>
      <c r="Q215" t="s">
        <v>704</v>
      </c>
      <c r="R215" t="s">
        <v>704</v>
      </c>
      <c r="S215" t="s">
        <v>705</v>
      </c>
      <c r="T215" t="s">
        <v>1224</v>
      </c>
      <c r="U215" t="s">
        <v>871</v>
      </c>
      <c r="V215" t="s">
        <v>1225</v>
      </c>
      <c r="W215" t="s">
        <v>594</v>
      </c>
      <c r="X215" t="s">
        <v>564</v>
      </c>
      <c r="Y215" t="s">
        <v>574</v>
      </c>
      <c r="Z215" t="s">
        <v>574</v>
      </c>
      <c r="AA215" t="s">
        <v>565</v>
      </c>
      <c r="AB215" t="s">
        <v>873</v>
      </c>
      <c r="AC215" t="s">
        <v>596</v>
      </c>
      <c r="AD215" t="s">
        <v>823</v>
      </c>
      <c r="AE215" t="s">
        <v>1226</v>
      </c>
      <c r="AF215" t="e">
        <f>IF(AND(HOUR(O215)&gt;=1,HOUR(O215)&lt;=13),VLOOKUP(B215,Programacion!$A$8:$S$1048576,16,FALSE),VLOOKUP(B215,Programacion!$A$8:$S$1048576,18,FALSE))</f>
        <v>#N/A</v>
      </c>
      <c r="AG215" t="e">
        <f>IF(AND(HOUR(O215)&gt;=1,HOUR(O215)&lt;=13),VLOOKUP(B215,Programacion!$A$8:$S$1048576,17,FALSE),VLOOKUP(B215,Programacion!$A$8:$S$1048576,19,FALSE))</f>
        <v>#N/A</v>
      </c>
    </row>
    <row r="216" spans="1:33" x14ac:dyDescent="0.25">
      <c r="A216" s="33" t="s">
        <v>82</v>
      </c>
      <c r="B216" t="s">
        <v>474</v>
      </c>
      <c r="C216" t="s">
        <v>1204</v>
      </c>
      <c r="D216" t="s">
        <v>557</v>
      </c>
      <c r="E216" t="s">
        <v>558</v>
      </c>
      <c r="F216" t="s">
        <v>1222</v>
      </c>
      <c r="G216" t="s">
        <v>560</v>
      </c>
      <c r="H216" t="s">
        <v>561</v>
      </c>
      <c r="I216" t="s">
        <v>1223</v>
      </c>
      <c r="L216" t="s">
        <v>1138</v>
      </c>
      <c r="M216" t="s">
        <v>564</v>
      </c>
      <c r="N216" t="s">
        <v>573</v>
      </c>
      <c r="O216" t="s">
        <v>1111</v>
      </c>
      <c r="P216" t="s">
        <v>716</v>
      </c>
      <c r="Q216" t="s">
        <v>704</v>
      </c>
      <c r="R216" t="s">
        <v>704</v>
      </c>
      <c r="S216" t="s">
        <v>705</v>
      </c>
      <c r="T216" t="s">
        <v>1224</v>
      </c>
      <c r="U216" t="s">
        <v>871</v>
      </c>
      <c r="V216" t="s">
        <v>1225</v>
      </c>
      <c r="W216" t="s">
        <v>594</v>
      </c>
      <c r="X216" t="s">
        <v>564</v>
      </c>
      <c r="Y216" t="s">
        <v>574</v>
      </c>
      <c r="Z216" t="s">
        <v>574</v>
      </c>
      <c r="AA216" t="s">
        <v>565</v>
      </c>
      <c r="AB216" t="s">
        <v>873</v>
      </c>
      <c r="AC216" t="s">
        <v>588</v>
      </c>
      <c r="AD216" t="s">
        <v>695</v>
      </c>
      <c r="AE216" t="s">
        <v>696</v>
      </c>
      <c r="AF216" t="e">
        <f>IF(AND(HOUR(O216)&gt;=1,HOUR(O216)&lt;=13),VLOOKUP(B216,Programacion!$A$8:$S$1048576,16,FALSE),VLOOKUP(B216,Programacion!$A$8:$S$1048576,18,FALSE))</f>
        <v>#N/A</v>
      </c>
      <c r="AG216" t="e">
        <f>IF(AND(HOUR(O216)&gt;=1,HOUR(O216)&lt;=13),VLOOKUP(B216,Programacion!$A$8:$S$1048576,17,FALSE),VLOOKUP(B216,Programacion!$A$8:$S$1048576,19,FALSE))</f>
        <v>#N/A</v>
      </c>
    </row>
    <row r="217" spans="1:33" x14ac:dyDescent="0.25">
      <c r="A217" s="33" t="s">
        <v>191</v>
      </c>
      <c r="B217" t="s">
        <v>490</v>
      </c>
      <c r="C217" t="s">
        <v>1227</v>
      </c>
      <c r="D217" t="s">
        <v>557</v>
      </c>
      <c r="E217" t="s">
        <v>558</v>
      </c>
      <c r="F217" t="s">
        <v>1228</v>
      </c>
      <c r="G217" t="s">
        <v>560</v>
      </c>
      <c r="H217" t="s">
        <v>561</v>
      </c>
      <c r="I217" t="s">
        <v>1229</v>
      </c>
      <c r="L217" t="s">
        <v>701</v>
      </c>
      <c r="M217" t="s">
        <v>564</v>
      </c>
      <c r="N217" t="s">
        <v>573</v>
      </c>
      <c r="O217" t="s">
        <v>631</v>
      </c>
      <c r="P217" t="s">
        <v>605</v>
      </c>
      <c r="Q217" t="s">
        <v>704</v>
      </c>
      <c r="R217" t="s">
        <v>704</v>
      </c>
      <c r="S217" t="s">
        <v>844</v>
      </c>
      <c r="T217" t="s">
        <v>1230</v>
      </c>
      <c r="U217" t="s">
        <v>1119</v>
      </c>
      <c r="V217" t="s">
        <v>1231</v>
      </c>
      <c r="W217" t="s">
        <v>586</v>
      </c>
      <c r="X217" t="s">
        <v>564</v>
      </c>
      <c r="Y217" t="s">
        <v>574</v>
      </c>
      <c r="Z217" t="s">
        <v>574</v>
      </c>
      <c r="AA217" t="s">
        <v>565</v>
      </c>
      <c r="AB217" t="s">
        <v>1058</v>
      </c>
      <c r="AC217" t="s">
        <v>598</v>
      </c>
      <c r="AD217" t="s">
        <v>1232</v>
      </c>
      <c r="AE217" t="s">
        <v>1233</v>
      </c>
      <c r="AF217" t="str">
        <f>IF(AND(HOUR(O217)&gt;=1,HOUR(O217)&lt;=13),VLOOKUP(B217,Programacion!$A$8:$S$1048576,16,FALSE),VLOOKUP(B217,Programacion!$A$8:$S$1048576,18,FALSE))</f>
        <v xml:space="preserve">  1261</v>
      </c>
      <c r="AG217" t="str">
        <f>IF(AND(HOUR(O217)&gt;=1,HOUR(O217)&lt;=13),VLOOKUP(B217,Programacion!$A$8:$S$1048576,17,FALSE),VLOOKUP(B217,Programacion!$A$8:$S$1048576,19,FALSE))</f>
        <v>GB01</v>
      </c>
    </row>
    <row r="218" spans="1:33" x14ac:dyDescent="0.25">
      <c r="A218" s="33" t="s">
        <v>191</v>
      </c>
      <c r="B218" t="s">
        <v>490</v>
      </c>
      <c r="C218" t="s">
        <v>1227</v>
      </c>
      <c r="D218" t="s">
        <v>557</v>
      </c>
      <c r="E218" t="s">
        <v>558</v>
      </c>
      <c r="F218" t="s">
        <v>1228</v>
      </c>
      <c r="G218" t="s">
        <v>560</v>
      </c>
      <c r="H218" t="s">
        <v>561</v>
      </c>
      <c r="I218" t="s">
        <v>1229</v>
      </c>
      <c r="L218" t="s">
        <v>701</v>
      </c>
      <c r="M218" t="s">
        <v>564</v>
      </c>
      <c r="N218" t="s">
        <v>573</v>
      </c>
      <c r="O218" t="s">
        <v>631</v>
      </c>
      <c r="P218" t="s">
        <v>605</v>
      </c>
      <c r="Q218" t="s">
        <v>704</v>
      </c>
      <c r="R218" t="s">
        <v>704</v>
      </c>
      <c r="S218" t="s">
        <v>844</v>
      </c>
      <c r="T218" t="s">
        <v>1230</v>
      </c>
      <c r="U218" t="s">
        <v>1119</v>
      </c>
      <c r="V218" t="s">
        <v>1231</v>
      </c>
      <c r="W218" t="s">
        <v>586</v>
      </c>
      <c r="X218" t="s">
        <v>564</v>
      </c>
      <c r="Y218" t="s">
        <v>574</v>
      </c>
      <c r="Z218" t="s">
        <v>574</v>
      </c>
      <c r="AA218" t="s">
        <v>565</v>
      </c>
      <c r="AB218" t="s">
        <v>1058</v>
      </c>
      <c r="AC218" t="s">
        <v>596</v>
      </c>
      <c r="AD218" t="s">
        <v>1107</v>
      </c>
      <c r="AE218" t="s">
        <v>1234</v>
      </c>
      <c r="AF218" t="str">
        <f>IF(AND(HOUR(O218)&gt;=1,HOUR(O218)&lt;=13),VLOOKUP(B218,Programacion!$A$8:$S$1048576,16,FALSE),VLOOKUP(B218,Programacion!$A$8:$S$1048576,18,FALSE))</f>
        <v xml:space="preserve">  1261</v>
      </c>
      <c r="AG218" t="str">
        <f>IF(AND(HOUR(O218)&gt;=1,HOUR(O218)&lt;=13),VLOOKUP(B218,Programacion!$A$8:$S$1048576,17,FALSE),VLOOKUP(B218,Programacion!$A$8:$S$1048576,19,FALSE))</f>
        <v>GB01</v>
      </c>
    </row>
    <row r="219" spans="1:33" x14ac:dyDescent="0.25">
      <c r="A219" s="33" t="s">
        <v>191</v>
      </c>
      <c r="B219" t="s">
        <v>490</v>
      </c>
      <c r="C219" t="s">
        <v>1227</v>
      </c>
      <c r="D219" t="s">
        <v>557</v>
      </c>
      <c r="E219" t="s">
        <v>558</v>
      </c>
      <c r="F219" t="s">
        <v>1228</v>
      </c>
      <c r="G219" t="s">
        <v>560</v>
      </c>
      <c r="H219" t="s">
        <v>561</v>
      </c>
      <c r="I219" t="s">
        <v>1229</v>
      </c>
      <c r="L219" t="s">
        <v>701</v>
      </c>
      <c r="M219" t="s">
        <v>564</v>
      </c>
      <c r="N219" t="s">
        <v>573</v>
      </c>
      <c r="O219" t="s">
        <v>631</v>
      </c>
      <c r="P219" t="s">
        <v>605</v>
      </c>
      <c r="Q219" t="s">
        <v>704</v>
      </c>
      <c r="R219" t="s">
        <v>704</v>
      </c>
      <c r="S219" t="s">
        <v>844</v>
      </c>
      <c r="T219" t="s">
        <v>1230</v>
      </c>
      <c r="U219" t="s">
        <v>1119</v>
      </c>
      <c r="V219" t="s">
        <v>1231</v>
      </c>
      <c r="W219" t="s">
        <v>586</v>
      </c>
      <c r="X219" t="s">
        <v>564</v>
      </c>
      <c r="Y219" t="s">
        <v>574</v>
      </c>
      <c r="Z219" t="s">
        <v>574</v>
      </c>
      <c r="AA219" t="s">
        <v>565</v>
      </c>
      <c r="AB219" t="s">
        <v>1058</v>
      </c>
      <c r="AC219" t="s">
        <v>588</v>
      </c>
      <c r="AD219" t="s">
        <v>695</v>
      </c>
      <c r="AE219" t="s">
        <v>696</v>
      </c>
      <c r="AF219" t="str">
        <f>IF(AND(HOUR(O219)&gt;=1,HOUR(O219)&lt;=13),VLOOKUP(B219,Programacion!$A$8:$S$1048576,16,FALSE),VLOOKUP(B219,Programacion!$A$8:$S$1048576,18,FALSE))</f>
        <v xml:space="preserve">  1261</v>
      </c>
      <c r="AG219" t="str">
        <f>IF(AND(HOUR(O219)&gt;=1,HOUR(O219)&lt;=13),VLOOKUP(B219,Programacion!$A$8:$S$1048576,17,FALSE),VLOOKUP(B219,Programacion!$A$8:$S$1048576,19,FALSE))</f>
        <v>GB01</v>
      </c>
    </row>
    <row r="220" spans="1:33" x14ac:dyDescent="0.25">
      <c r="A220" s="33" t="s">
        <v>191</v>
      </c>
      <c r="B220" t="s">
        <v>490</v>
      </c>
      <c r="C220" t="s">
        <v>1227</v>
      </c>
      <c r="D220" t="s">
        <v>557</v>
      </c>
      <c r="E220" t="s">
        <v>558</v>
      </c>
      <c r="F220" t="s">
        <v>1235</v>
      </c>
      <c r="G220" t="s">
        <v>560</v>
      </c>
      <c r="H220" t="s">
        <v>561</v>
      </c>
      <c r="I220" t="s">
        <v>1236</v>
      </c>
      <c r="L220" t="s">
        <v>1124</v>
      </c>
      <c r="M220" t="s">
        <v>564</v>
      </c>
      <c r="N220" t="s">
        <v>573</v>
      </c>
      <c r="O220" t="s">
        <v>715</v>
      </c>
      <c r="P220" t="s">
        <v>738</v>
      </c>
      <c r="Q220" t="s">
        <v>704</v>
      </c>
      <c r="R220" t="s">
        <v>704</v>
      </c>
      <c r="S220" t="s">
        <v>844</v>
      </c>
      <c r="T220" t="s">
        <v>1237</v>
      </c>
      <c r="U220" t="s">
        <v>584</v>
      </c>
      <c r="V220" t="s">
        <v>1238</v>
      </c>
      <c r="W220" t="s">
        <v>709</v>
      </c>
      <c r="X220" t="s">
        <v>564</v>
      </c>
      <c r="Y220" t="s">
        <v>574</v>
      </c>
      <c r="Z220" t="s">
        <v>574</v>
      </c>
      <c r="AA220" t="s">
        <v>565</v>
      </c>
      <c r="AB220" t="s">
        <v>587</v>
      </c>
      <c r="AC220" t="s">
        <v>596</v>
      </c>
      <c r="AD220" t="s">
        <v>656</v>
      </c>
      <c r="AE220" t="s">
        <v>1114</v>
      </c>
      <c r="AF220" t="str">
        <f>IF(AND(HOUR(O220)&gt;=1,HOUR(O220)&lt;=13),VLOOKUP(B220,Programacion!$A$8:$S$1048576,16,FALSE),VLOOKUP(B220,Programacion!$A$8:$S$1048576,18,FALSE))</f>
        <v xml:space="preserve">  1261</v>
      </c>
      <c r="AG220" t="str">
        <f>IF(AND(HOUR(O220)&gt;=1,HOUR(O220)&lt;=13),VLOOKUP(B220,Programacion!$A$8:$S$1048576,17,FALSE),VLOOKUP(B220,Programacion!$A$8:$S$1048576,19,FALSE))</f>
        <v>GB01</v>
      </c>
    </row>
    <row r="221" spans="1:33" x14ac:dyDescent="0.25">
      <c r="A221" s="33" t="s">
        <v>191</v>
      </c>
      <c r="B221" t="s">
        <v>490</v>
      </c>
      <c r="C221" t="s">
        <v>1227</v>
      </c>
      <c r="D221" t="s">
        <v>557</v>
      </c>
      <c r="E221" t="s">
        <v>558</v>
      </c>
      <c r="F221" t="s">
        <v>1235</v>
      </c>
      <c r="G221" t="s">
        <v>560</v>
      </c>
      <c r="H221" t="s">
        <v>561</v>
      </c>
      <c r="I221" t="s">
        <v>1236</v>
      </c>
      <c r="L221" t="s">
        <v>1124</v>
      </c>
      <c r="M221" t="s">
        <v>564</v>
      </c>
      <c r="N221" t="s">
        <v>573</v>
      </c>
      <c r="O221" t="s">
        <v>715</v>
      </c>
      <c r="P221" t="s">
        <v>738</v>
      </c>
      <c r="Q221" t="s">
        <v>704</v>
      </c>
      <c r="R221" t="s">
        <v>704</v>
      </c>
      <c r="S221" t="s">
        <v>844</v>
      </c>
      <c r="T221" t="s">
        <v>1237</v>
      </c>
      <c r="U221" t="s">
        <v>584</v>
      </c>
      <c r="V221" t="s">
        <v>1238</v>
      </c>
      <c r="W221" t="s">
        <v>709</v>
      </c>
      <c r="X221" t="s">
        <v>564</v>
      </c>
      <c r="Y221" t="s">
        <v>574</v>
      </c>
      <c r="Z221" t="s">
        <v>574</v>
      </c>
      <c r="AA221" t="s">
        <v>565</v>
      </c>
      <c r="AB221" t="s">
        <v>587</v>
      </c>
      <c r="AC221" t="s">
        <v>598</v>
      </c>
      <c r="AD221" t="s">
        <v>869</v>
      </c>
      <c r="AE221" t="s">
        <v>618</v>
      </c>
      <c r="AF221" t="str">
        <f>IF(AND(HOUR(O221)&gt;=1,HOUR(O221)&lt;=13),VLOOKUP(B221,Programacion!$A$8:$S$1048576,16,FALSE),VLOOKUP(B221,Programacion!$A$8:$S$1048576,18,FALSE))</f>
        <v xml:space="preserve">  1261</v>
      </c>
      <c r="AG221" t="str">
        <f>IF(AND(HOUR(O221)&gt;=1,HOUR(O221)&lt;=13),VLOOKUP(B221,Programacion!$A$8:$S$1048576,17,FALSE),VLOOKUP(B221,Programacion!$A$8:$S$1048576,19,FALSE))</f>
        <v>GB01</v>
      </c>
    </row>
    <row r="222" spans="1:33" x14ac:dyDescent="0.25">
      <c r="A222" s="33" t="s">
        <v>191</v>
      </c>
      <c r="B222" t="s">
        <v>490</v>
      </c>
      <c r="C222" t="s">
        <v>1227</v>
      </c>
      <c r="D222" t="s">
        <v>557</v>
      </c>
      <c r="E222" t="s">
        <v>558</v>
      </c>
      <c r="F222" t="s">
        <v>1235</v>
      </c>
      <c r="G222" t="s">
        <v>560</v>
      </c>
      <c r="H222" t="s">
        <v>561</v>
      </c>
      <c r="I222" t="s">
        <v>1236</v>
      </c>
      <c r="L222" t="s">
        <v>1124</v>
      </c>
      <c r="M222" t="s">
        <v>564</v>
      </c>
      <c r="N222" t="s">
        <v>573</v>
      </c>
      <c r="O222" t="s">
        <v>715</v>
      </c>
      <c r="P222" t="s">
        <v>738</v>
      </c>
      <c r="Q222" t="s">
        <v>704</v>
      </c>
      <c r="R222" t="s">
        <v>704</v>
      </c>
      <c r="S222" t="s">
        <v>844</v>
      </c>
      <c r="T222" t="s">
        <v>1215</v>
      </c>
      <c r="U222" t="s">
        <v>826</v>
      </c>
      <c r="V222" t="s">
        <v>1216</v>
      </c>
      <c r="W222" t="s">
        <v>1091</v>
      </c>
      <c r="X222" t="s">
        <v>564</v>
      </c>
      <c r="Y222" t="s">
        <v>574</v>
      </c>
      <c r="Z222" t="s">
        <v>574</v>
      </c>
      <c r="AA222" t="s">
        <v>565</v>
      </c>
      <c r="AB222" t="s">
        <v>720</v>
      </c>
      <c r="AC222" t="s">
        <v>588</v>
      </c>
      <c r="AD222" t="s">
        <v>869</v>
      </c>
      <c r="AE222" t="s">
        <v>600</v>
      </c>
      <c r="AF222" t="str">
        <f>IF(AND(HOUR(O222)&gt;=1,HOUR(O222)&lt;=13),VLOOKUP(B222,Programacion!$A$8:$S$1048576,16,FALSE),VLOOKUP(B222,Programacion!$A$8:$S$1048576,18,FALSE))</f>
        <v xml:space="preserve">  1261</v>
      </c>
      <c r="AG222" t="str">
        <f>IF(AND(HOUR(O222)&gt;=1,HOUR(O222)&lt;=13),VLOOKUP(B222,Programacion!$A$8:$S$1048576,17,FALSE),VLOOKUP(B222,Programacion!$A$8:$S$1048576,19,FALSE))</f>
        <v>GB01</v>
      </c>
    </row>
    <row r="223" spans="1:33" x14ac:dyDescent="0.25">
      <c r="A223" s="33" t="s">
        <v>191</v>
      </c>
      <c r="B223" t="s">
        <v>490</v>
      </c>
      <c r="C223" t="s">
        <v>1227</v>
      </c>
      <c r="D223" t="s">
        <v>557</v>
      </c>
      <c r="E223" t="s">
        <v>558</v>
      </c>
      <c r="F223" t="s">
        <v>1235</v>
      </c>
      <c r="G223" t="s">
        <v>560</v>
      </c>
      <c r="H223" t="s">
        <v>561</v>
      </c>
      <c r="I223" t="s">
        <v>1236</v>
      </c>
      <c r="L223" t="s">
        <v>1124</v>
      </c>
      <c r="M223" t="s">
        <v>564</v>
      </c>
      <c r="N223" t="s">
        <v>573</v>
      </c>
      <c r="O223" t="s">
        <v>715</v>
      </c>
      <c r="P223" t="s">
        <v>738</v>
      </c>
      <c r="Q223" t="s">
        <v>704</v>
      </c>
      <c r="R223" t="s">
        <v>704</v>
      </c>
      <c r="S223" t="s">
        <v>844</v>
      </c>
      <c r="T223" t="s">
        <v>1215</v>
      </c>
      <c r="U223" t="s">
        <v>826</v>
      </c>
      <c r="V223" t="s">
        <v>1216</v>
      </c>
      <c r="W223" t="s">
        <v>1091</v>
      </c>
      <c r="X223" t="s">
        <v>564</v>
      </c>
      <c r="Y223" t="s">
        <v>574</v>
      </c>
      <c r="Z223" t="s">
        <v>574</v>
      </c>
      <c r="AA223" t="s">
        <v>565</v>
      </c>
      <c r="AB223" t="s">
        <v>720</v>
      </c>
      <c r="AC223" t="s">
        <v>596</v>
      </c>
      <c r="AD223" t="s">
        <v>757</v>
      </c>
      <c r="AE223" t="s">
        <v>840</v>
      </c>
      <c r="AF223" t="str">
        <f>IF(AND(HOUR(O223)&gt;=1,HOUR(O223)&lt;=13),VLOOKUP(B223,Programacion!$A$8:$S$1048576,16,FALSE),VLOOKUP(B223,Programacion!$A$8:$S$1048576,18,FALSE))</f>
        <v xml:space="preserve">  1261</v>
      </c>
      <c r="AG223" t="str">
        <f>IF(AND(HOUR(O223)&gt;=1,HOUR(O223)&lt;=13),VLOOKUP(B223,Programacion!$A$8:$S$1048576,17,FALSE),VLOOKUP(B223,Programacion!$A$8:$S$1048576,19,FALSE))</f>
        <v>GB01</v>
      </c>
    </row>
    <row r="224" spans="1:33" x14ac:dyDescent="0.25">
      <c r="A224" s="33" t="s">
        <v>1239</v>
      </c>
      <c r="B224" t="s">
        <v>487</v>
      </c>
      <c r="C224" t="s">
        <v>1240</v>
      </c>
      <c r="D224" t="s">
        <v>557</v>
      </c>
      <c r="E224" t="s">
        <v>558</v>
      </c>
      <c r="F224" t="s">
        <v>1241</v>
      </c>
      <c r="G224" t="s">
        <v>560</v>
      </c>
      <c r="H224" t="s">
        <v>561</v>
      </c>
      <c r="I224" t="s">
        <v>1242</v>
      </c>
      <c r="L224" t="s">
        <v>737</v>
      </c>
      <c r="M224" t="s">
        <v>564</v>
      </c>
      <c r="N224" t="s">
        <v>565</v>
      </c>
      <c r="O224" t="s">
        <v>787</v>
      </c>
      <c r="P224" t="s">
        <v>1243</v>
      </c>
      <c r="Q224" t="s">
        <v>568</v>
      </c>
      <c r="R224" t="s">
        <v>568</v>
      </c>
      <c r="S224" t="s">
        <v>569</v>
      </c>
      <c r="T224" t="s">
        <v>1244</v>
      </c>
      <c r="U224" t="s">
        <v>795</v>
      </c>
      <c r="V224" t="s">
        <v>1245</v>
      </c>
      <c r="W224" t="s">
        <v>709</v>
      </c>
      <c r="X224" t="s">
        <v>564</v>
      </c>
      <c r="Y224" t="s">
        <v>574</v>
      </c>
      <c r="Z224" t="s">
        <v>574</v>
      </c>
      <c r="AA224" t="s">
        <v>565</v>
      </c>
      <c r="AB224" t="s">
        <v>797</v>
      </c>
      <c r="AC224" t="s">
        <v>576</v>
      </c>
      <c r="AD224" t="s">
        <v>568</v>
      </c>
      <c r="AE224" t="s">
        <v>1246</v>
      </c>
      <c r="AF224" t="str">
        <f>IF(AND(HOUR(O224)&gt;=1,HOUR(O224)&lt;=13),VLOOKUP(B224,Programacion!$A$8:$S$1048576,16,FALSE),VLOOKUP(B224,Programacion!$A$8:$S$1048576,18,FALSE))</f>
        <v xml:space="preserve">  2278</v>
      </c>
      <c r="AG224" t="str">
        <f>IF(AND(HOUR(O224)&gt;=1,HOUR(O224)&lt;=13),VLOOKUP(B224,Programacion!$A$8:$S$1048576,17,FALSE),VLOOKUP(B224,Programacion!$A$8:$S$1048576,19,FALSE))</f>
        <v>GB01</v>
      </c>
    </row>
    <row r="225" spans="1:33" x14ac:dyDescent="0.25">
      <c r="A225" s="33" t="s">
        <v>1239</v>
      </c>
      <c r="B225" t="s">
        <v>487</v>
      </c>
      <c r="C225" t="s">
        <v>1240</v>
      </c>
      <c r="D225" t="s">
        <v>557</v>
      </c>
      <c r="E225" t="s">
        <v>558</v>
      </c>
      <c r="F225" t="s">
        <v>1247</v>
      </c>
      <c r="G225" t="s">
        <v>560</v>
      </c>
      <c r="H225" t="s">
        <v>561</v>
      </c>
      <c r="I225" t="s">
        <v>1248</v>
      </c>
      <c r="L225" t="s">
        <v>1249</v>
      </c>
      <c r="M225" t="s">
        <v>564</v>
      </c>
      <c r="N225" t="s">
        <v>573</v>
      </c>
      <c r="O225" t="s">
        <v>666</v>
      </c>
      <c r="P225" t="s">
        <v>716</v>
      </c>
      <c r="Q225" t="s">
        <v>568</v>
      </c>
      <c r="R225" t="s">
        <v>568</v>
      </c>
      <c r="S225" t="s">
        <v>569</v>
      </c>
      <c r="T225" t="s">
        <v>1016</v>
      </c>
      <c r="U225" t="s">
        <v>1250</v>
      </c>
      <c r="V225" t="s">
        <v>1018</v>
      </c>
      <c r="W225" t="s">
        <v>564</v>
      </c>
      <c r="X225" t="s">
        <v>564</v>
      </c>
      <c r="Y225" t="s">
        <v>574</v>
      </c>
      <c r="Z225" t="s">
        <v>574</v>
      </c>
      <c r="AA225" t="s">
        <v>565</v>
      </c>
      <c r="AB225" t="s">
        <v>1251</v>
      </c>
      <c r="AC225" t="s">
        <v>576</v>
      </c>
      <c r="AD225" t="s">
        <v>599</v>
      </c>
      <c r="AE225" t="s">
        <v>600</v>
      </c>
      <c r="AF225" t="str">
        <f>IF(AND(HOUR(O225)&gt;=1,HOUR(O225)&lt;=13),VLOOKUP(B225,Programacion!$A$8:$S$1048576,16,FALSE),VLOOKUP(B225,Programacion!$A$8:$S$1048576,18,FALSE))</f>
        <v xml:space="preserve">  2278</v>
      </c>
      <c r="AG225" t="str">
        <f>IF(AND(HOUR(O225)&gt;=1,HOUR(O225)&lt;=13),VLOOKUP(B225,Programacion!$A$8:$S$1048576,17,FALSE),VLOOKUP(B225,Programacion!$A$8:$S$1048576,19,FALSE))</f>
        <v>GB01</v>
      </c>
    </row>
    <row r="226" spans="1:33" x14ac:dyDescent="0.25">
      <c r="A226" s="33" t="s">
        <v>1239</v>
      </c>
      <c r="B226" t="s">
        <v>487</v>
      </c>
      <c r="C226" t="s">
        <v>1240</v>
      </c>
      <c r="D226" t="s">
        <v>557</v>
      </c>
      <c r="E226" t="s">
        <v>558</v>
      </c>
      <c r="F226" t="s">
        <v>1247</v>
      </c>
      <c r="G226" t="s">
        <v>560</v>
      </c>
      <c r="H226" t="s">
        <v>561</v>
      </c>
      <c r="I226" t="s">
        <v>1248</v>
      </c>
      <c r="L226" t="s">
        <v>1249</v>
      </c>
      <c r="M226" t="s">
        <v>564</v>
      </c>
      <c r="N226" t="s">
        <v>573</v>
      </c>
      <c r="O226" t="s">
        <v>666</v>
      </c>
      <c r="P226" t="s">
        <v>716</v>
      </c>
      <c r="Q226" t="s">
        <v>568</v>
      </c>
      <c r="R226" t="s">
        <v>568</v>
      </c>
      <c r="S226" t="s">
        <v>569</v>
      </c>
      <c r="T226" t="s">
        <v>1016</v>
      </c>
      <c r="U226" t="s">
        <v>1250</v>
      </c>
      <c r="V226" t="s">
        <v>1018</v>
      </c>
      <c r="W226" t="s">
        <v>564</v>
      </c>
      <c r="X226" t="s">
        <v>564</v>
      </c>
      <c r="Y226" t="s">
        <v>574</v>
      </c>
      <c r="Z226" t="s">
        <v>574</v>
      </c>
      <c r="AA226" t="s">
        <v>565</v>
      </c>
      <c r="AB226" t="s">
        <v>1251</v>
      </c>
      <c r="AC226" t="s">
        <v>588</v>
      </c>
      <c r="AD226" t="s">
        <v>599</v>
      </c>
      <c r="AE226" t="s">
        <v>647</v>
      </c>
      <c r="AF226" t="str">
        <f>IF(AND(HOUR(O226)&gt;=1,HOUR(O226)&lt;=13),VLOOKUP(B226,Programacion!$A$8:$S$1048576,16,FALSE),VLOOKUP(B226,Programacion!$A$8:$S$1048576,18,FALSE))</f>
        <v xml:space="preserve">  2278</v>
      </c>
      <c r="AG226" t="str">
        <f>IF(AND(HOUR(O226)&gt;=1,HOUR(O226)&lt;=13),VLOOKUP(B226,Programacion!$A$8:$S$1048576,17,FALSE),VLOOKUP(B226,Programacion!$A$8:$S$1048576,19,FALSE))</f>
        <v>GB01</v>
      </c>
    </row>
    <row r="227" spans="1:33" x14ac:dyDescent="0.25">
      <c r="A227" s="33" t="s">
        <v>1239</v>
      </c>
      <c r="B227" t="s">
        <v>487</v>
      </c>
      <c r="C227" t="s">
        <v>1240</v>
      </c>
      <c r="D227" t="s">
        <v>557</v>
      </c>
      <c r="E227" t="s">
        <v>558</v>
      </c>
      <c r="F227" t="s">
        <v>1247</v>
      </c>
      <c r="G227" t="s">
        <v>560</v>
      </c>
      <c r="H227" t="s">
        <v>561</v>
      </c>
      <c r="I227" t="s">
        <v>1248</v>
      </c>
      <c r="L227" t="s">
        <v>1249</v>
      </c>
      <c r="M227" t="s">
        <v>564</v>
      </c>
      <c r="N227" t="s">
        <v>573</v>
      </c>
      <c r="O227" t="s">
        <v>666</v>
      </c>
      <c r="P227" t="s">
        <v>716</v>
      </c>
      <c r="Q227" t="s">
        <v>568</v>
      </c>
      <c r="R227" t="s">
        <v>568</v>
      </c>
      <c r="S227" t="s">
        <v>569</v>
      </c>
      <c r="T227" t="s">
        <v>1016</v>
      </c>
      <c r="U227" t="s">
        <v>1250</v>
      </c>
      <c r="V227" t="s">
        <v>1018</v>
      </c>
      <c r="W227" t="s">
        <v>564</v>
      </c>
      <c r="X227" t="s">
        <v>564</v>
      </c>
      <c r="Y227" t="s">
        <v>574</v>
      </c>
      <c r="Z227" t="s">
        <v>574</v>
      </c>
      <c r="AA227" t="s">
        <v>565</v>
      </c>
      <c r="AB227" t="s">
        <v>1251</v>
      </c>
      <c r="AC227" t="s">
        <v>596</v>
      </c>
      <c r="AD227" t="s">
        <v>599</v>
      </c>
      <c r="AE227" t="s">
        <v>663</v>
      </c>
      <c r="AF227" t="str">
        <f>IF(AND(HOUR(O227)&gt;=1,HOUR(O227)&lt;=13),VLOOKUP(B227,Programacion!$A$8:$S$1048576,16,FALSE),VLOOKUP(B227,Programacion!$A$8:$S$1048576,18,FALSE))</f>
        <v xml:space="preserve">  2278</v>
      </c>
      <c r="AG227" t="str">
        <f>IF(AND(HOUR(O227)&gt;=1,HOUR(O227)&lt;=13),VLOOKUP(B227,Programacion!$A$8:$S$1048576,17,FALSE),VLOOKUP(B227,Programacion!$A$8:$S$1048576,19,FALSE))</f>
        <v>GB01</v>
      </c>
    </row>
    <row r="228" spans="1:33" x14ac:dyDescent="0.25">
      <c r="A228" s="33" t="s">
        <v>1239</v>
      </c>
      <c r="B228" t="s">
        <v>487</v>
      </c>
      <c r="C228" t="s">
        <v>1240</v>
      </c>
      <c r="D228" t="s">
        <v>557</v>
      </c>
      <c r="E228" t="s">
        <v>558</v>
      </c>
      <c r="F228" t="s">
        <v>1247</v>
      </c>
      <c r="G228" t="s">
        <v>560</v>
      </c>
      <c r="H228" t="s">
        <v>561</v>
      </c>
      <c r="I228" t="s">
        <v>1248</v>
      </c>
      <c r="L228" t="s">
        <v>1249</v>
      </c>
      <c r="M228" t="s">
        <v>564</v>
      </c>
      <c r="N228" t="s">
        <v>573</v>
      </c>
      <c r="O228" t="s">
        <v>666</v>
      </c>
      <c r="P228" t="s">
        <v>716</v>
      </c>
      <c r="Q228" t="s">
        <v>568</v>
      </c>
      <c r="R228" t="s">
        <v>568</v>
      </c>
      <c r="S228" t="s">
        <v>569</v>
      </c>
      <c r="T228" t="s">
        <v>1252</v>
      </c>
      <c r="U228" t="s">
        <v>1253</v>
      </c>
      <c r="V228" t="s">
        <v>1254</v>
      </c>
      <c r="W228" t="s">
        <v>594</v>
      </c>
      <c r="X228" t="s">
        <v>564</v>
      </c>
      <c r="Y228" t="s">
        <v>574</v>
      </c>
      <c r="Z228" t="s">
        <v>574</v>
      </c>
      <c r="AA228" t="s">
        <v>565</v>
      </c>
      <c r="AB228" t="s">
        <v>1255</v>
      </c>
      <c r="AC228" t="s">
        <v>596</v>
      </c>
      <c r="AD228" t="s">
        <v>599</v>
      </c>
      <c r="AE228" t="s">
        <v>618</v>
      </c>
      <c r="AF228" t="str">
        <f>IF(AND(HOUR(O228)&gt;=1,HOUR(O228)&lt;=13),VLOOKUP(B228,Programacion!$A$8:$S$1048576,16,FALSE),VLOOKUP(B228,Programacion!$A$8:$S$1048576,18,FALSE))</f>
        <v xml:space="preserve">  2278</v>
      </c>
      <c r="AG228" t="str">
        <f>IF(AND(HOUR(O228)&gt;=1,HOUR(O228)&lt;=13),VLOOKUP(B228,Programacion!$A$8:$S$1048576,17,FALSE),VLOOKUP(B228,Programacion!$A$8:$S$1048576,19,FALSE))</f>
        <v>GB01</v>
      </c>
    </row>
    <row r="229" spans="1:33" x14ac:dyDescent="0.25">
      <c r="A229" s="33" t="s">
        <v>1239</v>
      </c>
      <c r="B229" t="s">
        <v>487</v>
      </c>
      <c r="C229" t="s">
        <v>1240</v>
      </c>
      <c r="D229" t="s">
        <v>557</v>
      </c>
      <c r="E229" t="s">
        <v>558</v>
      </c>
      <c r="F229" t="s">
        <v>1247</v>
      </c>
      <c r="G229" t="s">
        <v>560</v>
      </c>
      <c r="H229" t="s">
        <v>561</v>
      </c>
      <c r="I229" t="s">
        <v>1248</v>
      </c>
      <c r="L229" t="s">
        <v>1249</v>
      </c>
      <c r="M229" t="s">
        <v>564</v>
      </c>
      <c r="N229" t="s">
        <v>573</v>
      </c>
      <c r="O229" t="s">
        <v>666</v>
      </c>
      <c r="P229" t="s">
        <v>716</v>
      </c>
      <c r="Q229" t="s">
        <v>568</v>
      </c>
      <c r="R229" t="s">
        <v>568</v>
      </c>
      <c r="S229" t="s">
        <v>569</v>
      </c>
      <c r="T229" t="s">
        <v>1252</v>
      </c>
      <c r="U229" t="s">
        <v>1253</v>
      </c>
      <c r="V229" t="s">
        <v>1254</v>
      </c>
      <c r="W229" t="s">
        <v>594</v>
      </c>
      <c r="X229" t="s">
        <v>564</v>
      </c>
      <c r="Y229" t="s">
        <v>574</v>
      </c>
      <c r="Z229" t="s">
        <v>574</v>
      </c>
      <c r="AA229" t="s">
        <v>565</v>
      </c>
      <c r="AB229" t="s">
        <v>1255</v>
      </c>
      <c r="AC229" t="s">
        <v>598</v>
      </c>
      <c r="AD229" t="s">
        <v>599</v>
      </c>
      <c r="AE229" t="s">
        <v>651</v>
      </c>
      <c r="AF229" t="str">
        <f>IF(AND(HOUR(O229)&gt;=1,HOUR(O229)&lt;=13),VLOOKUP(B229,Programacion!$A$8:$S$1048576,16,FALSE),VLOOKUP(B229,Programacion!$A$8:$S$1048576,18,FALSE))</f>
        <v xml:space="preserve">  2278</v>
      </c>
      <c r="AG229" t="str">
        <f>IF(AND(HOUR(O229)&gt;=1,HOUR(O229)&lt;=13),VLOOKUP(B229,Programacion!$A$8:$S$1048576,17,FALSE),VLOOKUP(B229,Programacion!$A$8:$S$1048576,19,FALSE))</f>
        <v>GB01</v>
      </c>
    </row>
    <row r="230" spans="1:33" x14ac:dyDescent="0.25">
      <c r="A230" s="33" t="s">
        <v>190</v>
      </c>
      <c r="B230" t="s">
        <v>480</v>
      </c>
      <c r="C230" t="s">
        <v>1256</v>
      </c>
      <c r="D230" t="s">
        <v>557</v>
      </c>
      <c r="E230" t="s">
        <v>558</v>
      </c>
      <c r="F230" t="s">
        <v>1257</v>
      </c>
      <c r="G230" t="s">
        <v>560</v>
      </c>
      <c r="H230" t="s">
        <v>561</v>
      </c>
      <c r="I230" t="s">
        <v>1258</v>
      </c>
      <c r="L230" t="s">
        <v>701</v>
      </c>
      <c r="M230" t="s">
        <v>564</v>
      </c>
      <c r="N230" t="s">
        <v>573</v>
      </c>
      <c r="O230" t="s">
        <v>631</v>
      </c>
      <c r="P230" t="s">
        <v>567</v>
      </c>
      <c r="Q230" t="s">
        <v>704</v>
      </c>
      <c r="R230" t="s">
        <v>704</v>
      </c>
      <c r="S230" t="s">
        <v>1259</v>
      </c>
      <c r="T230" t="s">
        <v>1260</v>
      </c>
      <c r="U230" t="s">
        <v>1261</v>
      </c>
      <c r="V230" t="s">
        <v>1262</v>
      </c>
      <c r="W230" t="s">
        <v>564</v>
      </c>
      <c r="X230" t="s">
        <v>564</v>
      </c>
      <c r="Y230" t="s">
        <v>574</v>
      </c>
      <c r="Z230" t="s">
        <v>574</v>
      </c>
      <c r="AA230" t="s">
        <v>565</v>
      </c>
      <c r="AB230" t="s">
        <v>1263</v>
      </c>
      <c r="AC230" t="s">
        <v>576</v>
      </c>
      <c r="AD230" t="s">
        <v>589</v>
      </c>
      <c r="AE230" t="s">
        <v>663</v>
      </c>
      <c r="AF230" t="str">
        <f>IF(AND(HOUR(O230)&gt;=1,HOUR(O230)&lt;=13),VLOOKUP(B230,Programacion!$A$8:$S$1048576,16,FALSE),VLOOKUP(B230,Programacion!$A$8:$S$1048576,18,FALSE))</f>
        <v xml:space="preserve">  1255</v>
      </c>
      <c r="AG230" t="str">
        <f>IF(AND(HOUR(O230)&gt;=1,HOUR(O230)&lt;=13),VLOOKUP(B230,Programacion!$A$8:$S$1048576,17,FALSE),VLOOKUP(B230,Programacion!$A$8:$S$1048576,19,FALSE))</f>
        <v>GB01</v>
      </c>
    </row>
    <row r="231" spans="1:33" x14ac:dyDescent="0.25">
      <c r="A231" s="33" t="s">
        <v>190</v>
      </c>
      <c r="B231" t="s">
        <v>480</v>
      </c>
      <c r="C231" t="s">
        <v>1256</v>
      </c>
      <c r="D231" t="s">
        <v>557</v>
      </c>
      <c r="E231" t="s">
        <v>558</v>
      </c>
      <c r="F231" t="s">
        <v>1257</v>
      </c>
      <c r="G231" t="s">
        <v>560</v>
      </c>
      <c r="H231" t="s">
        <v>561</v>
      </c>
      <c r="I231" t="s">
        <v>1258</v>
      </c>
      <c r="L231" t="s">
        <v>701</v>
      </c>
      <c r="M231" t="s">
        <v>564</v>
      </c>
      <c r="N231" t="s">
        <v>573</v>
      </c>
      <c r="O231" t="s">
        <v>631</v>
      </c>
      <c r="P231" t="s">
        <v>567</v>
      </c>
      <c r="Q231" t="s">
        <v>704</v>
      </c>
      <c r="R231" t="s">
        <v>704</v>
      </c>
      <c r="S231" t="s">
        <v>1259</v>
      </c>
      <c r="T231" t="s">
        <v>1260</v>
      </c>
      <c r="U231" t="s">
        <v>1261</v>
      </c>
      <c r="V231" t="s">
        <v>1262</v>
      </c>
      <c r="W231" t="s">
        <v>564</v>
      </c>
      <c r="X231" t="s">
        <v>564</v>
      </c>
      <c r="Y231" t="s">
        <v>574</v>
      </c>
      <c r="Z231" t="s">
        <v>574</v>
      </c>
      <c r="AA231" t="s">
        <v>565</v>
      </c>
      <c r="AB231" t="s">
        <v>1263</v>
      </c>
      <c r="AC231" t="s">
        <v>588</v>
      </c>
      <c r="AD231" t="s">
        <v>849</v>
      </c>
      <c r="AE231" t="s">
        <v>1264</v>
      </c>
      <c r="AF231" t="str">
        <f>IF(AND(HOUR(O231)&gt;=1,HOUR(O231)&lt;=13),VLOOKUP(B231,Programacion!$A$8:$S$1048576,16,FALSE),VLOOKUP(B231,Programacion!$A$8:$S$1048576,18,FALSE))</f>
        <v xml:space="preserve">  1255</v>
      </c>
      <c r="AG231" t="str">
        <f>IF(AND(HOUR(O231)&gt;=1,HOUR(O231)&lt;=13),VLOOKUP(B231,Programacion!$A$8:$S$1048576,17,FALSE),VLOOKUP(B231,Programacion!$A$8:$S$1048576,19,FALSE))</f>
        <v>GB01</v>
      </c>
    </row>
    <row r="232" spans="1:33" x14ac:dyDescent="0.25">
      <c r="A232" s="33" t="s">
        <v>190</v>
      </c>
      <c r="B232" t="s">
        <v>480</v>
      </c>
      <c r="C232" t="s">
        <v>1256</v>
      </c>
      <c r="D232" t="s">
        <v>557</v>
      </c>
      <c r="E232" t="s">
        <v>558</v>
      </c>
      <c r="F232" t="s">
        <v>1257</v>
      </c>
      <c r="G232" t="s">
        <v>560</v>
      </c>
      <c r="H232" t="s">
        <v>561</v>
      </c>
      <c r="I232" t="s">
        <v>1258</v>
      </c>
      <c r="L232" t="s">
        <v>701</v>
      </c>
      <c r="M232" t="s">
        <v>564</v>
      </c>
      <c r="N232" t="s">
        <v>573</v>
      </c>
      <c r="O232" t="s">
        <v>631</v>
      </c>
      <c r="P232" t="s">
        <v>567</v>
      </c>
      <c r="Q232" t="s">
        <v>704</v>
      </c>
      <c r="R232" t="s">
        <v>704</v>
      </c>
      <c r="S232" t="s">
        <v>1259</v>
      </c>
      <c r="T232" t="s">
        <v>916</v>
      </c>
      <c r="U232" t="s">
        <v>1265</v>
      </c>
      <c r="V232" t="s">
        <v>917</v>
      </c>
      <c r="W232" t="s">
        <v>565</v>
      </c>
      <c r="X232" t="s">
        <v>564</v>
      </c>
      <c r="Y232" t="s">
        <v>574</v>
      </c>
      <c r="Z232" t="s">
        <v>574</v>
      </c>
      <c r="AA232" t="s">
        <v>565</v>
      </c>
      <c r="AB232" t="s">
        <v>951</v>
      </c>
      <c r="AC232" t="s">
        <v>576</v>
      </c>
      <c r="AD232" t="s">
        <v>869</v>
      </c>
      <c r="AE232" t="s">
        <v>600</v>
      </c>
      <c r="AF232" t="str">
        <f>IF(AND(HOUR(O232)&gt;=1,HOUR(O232)&lt;=13),VLOOKUP(B232,Programacion!$A$8:$S$1048576,16,FALSE),VLOOKUP(B232,Programacion!$A$8:$S$1048576,18,FALSE))</f>
        <v xml:space="preserve">  1255</v>
      </c>
      <c r="AG232" t="str">
        <f>IF(AND(HOUR(O232)&gt;=1,HOUR(O232)&lt;=13),VLOOKUP(B232,Programacion!$A$8:$S$1048576,17,FALSE),VLOOKUP(B232,Programacion!$A$8:$S$1048576,19,FALSE))</f>
        <v>GB01</v>
      </c>
    </row>
    <row r="233" spans="1:33" x14ac:dyDescent="0.25">
      <c r="A233" s="33" t="s">
        <v>190</v>
      </c>
      <c r="B233" t="s">
        <v>480</v>
      </c>
      <c r="C233" t="s">
        <v>1256</v>
      </c>
      <c r="D233" t="s">
        <v>557</v>
      </c>
      <c r="E233" t="s">
        <v>558</v>
      </c>
      <c r="F233" t="s">
        <v>1257</v>
      </c>
      <c r="G233" t="s">
        <v>560</v>
      </c>
      <c r="H233" t="s">
        <v>561</v>
      </c>
      <c r="I233" t="s">
        <v>1258</v>
      </c>
      <c r="L233" t="s">
        <v>701</v>
      </c>
      <c r="M233" t="s">
        <v>564</v>
      </c>
      <c r="N233" t="s">
        <v>573</v>
      </c>
      <c r="O233" t="s">
        <v>631</v>
      </c>
      <c r="P233" t="s">
        <v>567</v>
      </c>
      <c r="Q233" t="s">
        <v>704</v>
      </c>
      <c r="R233" t="s">
        <v>704</v>
      </c>
      <c r="S233" t="s">
        <v>1259</v>
      </c>
      <c r="T233" t="s">
        <v>916</v>
      </c>
      <c r="U233" t="s">
        <v>1265</v>
      </c>
      <c r="V233" t="s">
        <v>917</v>
      </c>
      <c r="W233" t="s">
        <v>565</v>
      </c>
      <c r="X233" t="s">
        <v>564</v>
      </c>
      <c r="Y233" t="s">
        <v>574</v>
      </c>
      <c r="Z233" t="s">
        <v>574</v>
      </c>
      <c r="AA233" t="s">
        <v>565</v>
      </c>
      <c r="AB233" t="s">
        <v>951</v>
      </c>
      <c r="AC233" t="s">
        <v>588</v>
      </c>
      <c r="AD233" t="s">
        <v>869</v>
      </c>
      <c r="AE233" t="s">
        <v>618</v>
      </c>
      <c r="AF233" t="str">
        <f>IF(AND(HOUR(O233)&gt;=1,HOUR(O233)&lt;=13),VLOOKUP(B233,Programacion!$A$8:$S$1048576,16,FALSE),VLOOKUP(B233,Programacion!$A$8:$S$1048576,18,FALSE))</f>
        <v xml:space="preserve">  1255</v>
      </c>
      <c r="AG233" t="str">
        <f>IF(AND(HOUR(O233)&gt;=1,HOUR(O233)&lt;=13),VLOOKUP(B233,Programacion!$A$8:$S$1048576,17,FALSE),VLOOKUP(B233,Programacion!$A$8:$S$1048576,19,FALSE))</f>
        <v>GB01</v>
      </c>
    </row>
    <row r="234" spans="1:33" x14ac:dyDescent="0.25">
      <c r="A234" s="33" t="s">
        <v>190</v>
      </c>
      <c r="B234" t="s">
        <v>480</v>
      </c>
      <c r="C234" t="s">
        <v>1256</v>
      </c>
      <c r="D234" t="s">
        <v>557</v>
      </c>
      <c r="E234" t="s">
        <v>558</v>
      </c>
      <c r="F234" t="s">
        <v>1266</v>
      </c>
      <c r="G234" t="s">
        <v>560</v>
      </c>
      <c r="H234" t="s">
        <v>561</v>
      </c>
      <c r="I234" t="s">
        <v>1267</v>
      </c>
      <c r="L234" t="s">
        <v>715</v>
      </c>
      <c r="M234" t="s">
        <v>564</v>
      </c>
      <c r="N234" t="s">
        <v>565</v>
      </c>
      <c r="O234" t="s">
        <v>1173</v>
      </c>
      <c r="P234" t="s">
        <v>582</v>
      </c>
      <c r="Q234" t="s">
        <v>704</v>
      </c>
      <c r="R234" t="s">
        <v>704</v>
      </c>
      <c r="S234" t="s">
        <v>1259</v>
      </c>
      <c r="T234" t="s">
        <v>1268</v>
      </c>
      <c r="U234" t="s">
        <v>777</v>
      </c>
      <c r="V234" t="s">
        <v>1269</v>
      </c>
      <c r="W234" t="s">
        <v>594</v>
      </c>
      <c r="X234" t="s">
        <v>564</v>
      </c>
      <c r="Y234" t="s">
        <v>574</v>
      </c>
      <c r="Z234" t="s">
        <v>574</v>
      </c>
      <c r="AA234" t="s">
        <v>565</v>
      </c>
      <c r="AB234" t="s">
        <v>780</v>
      </c>
      <c r="AC234" t="s">
        <v>576</v>
      </c>
      <c r="AD234" t="s">
        <v>704</v>
      </c>
      <c r="AE234" t="s">
        <v>1270</v>
      </c>
      <c r="AF234" t="str">
        <f>IF(AND(HOUR(O234)&gt;=1,HOUR(O234)&lt;=13),VLOOKUP(B234,Programacion!$A$8:$S$1048576,16,FALSE),VLOOKUP(B234,Programacion!$A$8:$S$1048576,18,FALSE))</f>
        <v xml:space="preserve">  1255</v>
      </c>
      <c r="AG234" t="str">
        <f>IF(AND(HOUR(O234)&gt;=1,HOUR(O234)&lt;=13),VLOOKUP(B234,Programacion!$A$8:$S$1048576,17,FALSE),VLOOKUP(B234,Programacion!$A$8:$S$1048576,19,FALSE))</f>
        <v>GB01</v>
      </c>
    </row>
    <row r="235" spans="1:33" x14ac:dyDescent="0.25">
      <c r="A235" s="33" t="s">
        <v>190</v>
      </c>
      <c r="B235" t="s">
        <v>480</v>
      </c>
      <c r="C235" t="s">
        <v>1256</v>
      </c>
      <c r="D235" t="s">
        <v>557</v>
      </c>
      <c r="E235" t="s">
        <v>558</v>
      </c>
      <c r="F235" t="s">
        <v>1271</v>
      </c>
      <c r="G235" t="s">
        <v>560</v>
      </c>
      <c r="H235" t="s">
        <v>561</v>
      </c>
      <c r="I235" t="s">
        <v>1272</v>
      </c>
      <c r="L235" t="s">
        <v>737</v>
      </c>
      <c r="M235" t="s">
        <v>564</v>
      </c>
      <c r="N235" t="s">
        <v>573</v>
      </c>
      <c r="O235" t="s">
        <v>609</v>
      </c>
      <c r="P235" t="s">
        <v>833</v>
      </c>
      <c r="Q235" t="s">
        <v>704</v>
      </c>
      <c r="R235" t="s">
        <v>704</v>
      </c>
      <c r="S235" t="s">
        <v>1259</v>
      </c>
      <c r="T235" t="s">
        <v>1273</v>
      </c>
      <c r="U235" t="s">
        <v>835</v>
      </c>
      <c r="V235" t="s">
        <v>1274</v>
      </c>
      <c r="W235" t="s">
        <v>837</v>
      </c>
      <c r="X235" t="s">
        <v>564</v>
      </c>
      <c r="Y235" t="s">
        <v>574</v>
      </c>
      <c r="Z235" t="s">
        <v>574</v>
      </c>
      <c r="AA235" t="s">
        <v>565</v>
      </c>
      <c r="AB235" t="s">
        <v>617</v>
      </c>
      <c r="AC235" t="s">
        <v>596</v>
      </c>
      <c r="AD235" t="s">
        <v>869</v>
      </c>
      <c r="AE235" t="s">
        <v>600</v>
      </c>
      <c r="AF235" t="str">
        <f>IF(AND(HOUR(O235)&gt;=1,HOUR(O235)&lt;=13),VLOOKUP(B235,Programacion!$A$8:$S$1048576,16,FALSE),VLOOKUP(B235,Programacion!$A$8:$S$1048576,18,FALSE))</f>
        <v xml:space="preserve">  2012</v>
      </c>
      <c r="AG235" t="str">
        <f>IF(AND(HOUR(O235)&gt;=1,HOUR(O235)&lt;=13),VLOOKUP(B235,Programacion!$A$8:$S$1048576,17,FALSE),VLOOKUP(B235,Programacion!$A$8:$S$1048576,19,FALSE))</f>
        <v>GB01</v>
      </c>
    </row>
    <row r="236" spans="1:33" x14ac:dyDescent="0.25">
      <c r="A236" s="33" t="s">
        <v>190</v>
      </c>
      <c r="B236" t="s">
        <v>480</v>
      </c>
      <c r="C236" t="s">
        <v>1256</v>
      </c>
      <c r="D236" t="s">
        <v>557</v>
      </c>
      <c r="E236" t="s">
        <v>558</v>
      </c>
      <c r="F236" t="s">
        <v>1271</v>
      </c>
      <c r="G236" t="s">
        <v>560</v>
      </c>
      <c r="H236" t="s">
        <v>561</v>
      </c>
      <c r="I236" t="s">
        <v>1272</v>
      </c>
      <c r="L236" t="s">
        <v>737</v>
      </c>
      <c r="M236" t="s">
        <v>564</v>
      </c>
      <c r="N236" t="s">
        <v>573</v>
      </c>
      <c r="O236" t="s">
        <v>609</v>
      </c>
      <c r="P236" t="s">
        <v>833</v>
      </c>
      <c r="Q236" t="s">
        <v>704</v>
      </c>
      <c r="R236" t="s">
        <v>704</v>
      </c>
      <c r="S236" t="s">
        <v>1259</v>
      </c>
      <c r="T236" t="s">
        <v>1273</v>
      </c>
      <c r="U236" t="s">
        <v>835</v>
      </c>
      <c r="V236" t="s">
        <v>1274</v>
      </c>
      <c r="W236" t="s">
        <v>837</v>
      </c>
      <c r="X236" t="s">
        <v>564</v>
      </c>
      <c r="Y236" t="s">
        <v>574</v>
      </c>
      <c r="Z236" t="s">
        <v>574</v>
      </c>
      <c r="AA236" t="s">
        <v>565</v>
      </c>
      <c r="AB236" t="s">
        <v>617</v>
      </c>
      <c r="AC236" t="s">
        <v>598</v>
      </c>
      <c r="AD236" t="s">
        <v>869</v>
      </c>
      <c r="AE236" t="s">
        <v>618</v>
      </c>
      <c r="AF236" t="str">
        <f>IF(AND(HOUR(O236)&gt;=1,HOUR(O236)&lt;=13),VLOOKUP(B236,Programacion!$A$8:$S$1048576,16,FALSE),VLOOKUP(B236,Programacion!$A$8:$S$1048576,18,FALSE))</f>
        <v xml:space="preserve">  2012</v>
      </c>
      <c r="AG236" t="str">
        <f>IF(AND(HOUR(O236)&gt;=1,HOUR(O236)&lt;=13),VLOOKUP(B236,Programacion!$A$8:$S$1048576,17,FALSE),VLOOKUP(B236,Programacion!$A$8:$S$1048576,19,FALSE))</f>
        <v>GB01</v>
      </c>
    </row>
    <row r="237" spans="1:33" x14ac:dyDescent="0.25">
      <c r="A237" s="33" t="s">
        <v>190</v>
      </c>
      <c r="B237" t="s">
        <v>480</v>
      </c>
      <c r="C237" t="s">
        <v>1256</v>
      </c>
      <c r="D237" t="s">
        <v>557</v>
      </c>
      <c r="E237" t="s">
        <v>558</v>
      </c>
      <c r="F237" t="s">
        <v>1271</v>
      </c>
      <c r="G237" t="s">
        <v>560</v>
      </c>
      <c r="H237" t="s">
        <v>561</v>
      </c>
      <c r="I237" t="s">
        <v>1272</v>
      </c>
      <c r="L237" t="s">
        <v>737</v>
      </c>
      <c r="M237" t="s">
        <v>564</v>
      </c>
      <c r="N237" t="s">
        <v>573</v>
      </c>
      <c r="O237" t="s">
        <v>609</v>
      </c>
      <c r="P237" t="s">
        <v>833</v>
      </c>
      <c r="Q237" t="s">
        <v>704</v>
      </c>
      <c r="R237" t="s">
        <v>704</v>
      </c>
      <c r="S237" t="s">
        <v>1259</v>
      </c>
      <c r="T237" t="s">
        <v>1273</v>
      </c>
      <c r="U237" t="s">
        <v>835</v>
      </c>
      <c r="V237" t="s">
        <v>1274</v>
      </c>
      <c r="W237" t="s">
        <v>837</v>
      </c>
      <c r="X237" t="s">
        <v>564</v>
      </c>
      <c r="Y237" t="s">
        <v>574</v>
      </c>
      <c r="Z237" t="s">
        <v>574</v>
      </c>
      <c r="AA237" t="s">
        <v>565</v>
      </c>
      <c r="AB237" t="s">
        <v>617</v>
      </c>
      <c r="AC237" t="s">
        <v>576</v>
      </c>
      <c r="AD237" t="s">
        <v>1275</v>
      </c>
      <c r="AE237" t="s">
        <v>1276</v>
      </c>
      <c r="AF237" t="str">
        <f>IF(AND(HOUR(O237)&gt;=1,HOUR(O237)&lt;=13),VLOOKUP(B237,Programacion!$A$8:$S$1048576,16,FALSE),VLOOKUP(B237,Programacion!$A$8:$S$1048576,18,FALSE))</f>
        <v xml:space="preserve">  2012</v>
      </c>
      <c r="AG237" t="str">
        <f>IF(AND(HOUR(O237)&gt;=1,HOUR(O237)&lt;=13),VLOOKUP(B237,Programacion!$A$8:$S$1048576,17,FALSE),VLOOKUP(B237,Programacion!$A$8:$S$1048576,19,FALSE))</f>
        <v>GB01</v>
      </c>
    </row>
    <row r="238" spans="1:33" x14ac:dyDescent="0.25">
      <c r="A238" s="33" t="s">
        <v>163</v>
      </c>
      <c r="B238" t="s">
        <v>517</v>
      </c>
      <c r="C238" t="s">
        <v>1277</v>
      </c>
      <c r="D238" t="s">
        <v>557</v>
      </c>
      <c r="E238" t="s">
        <v>558</v>
      </c>
      <c r="F238" t="s">
        <v>1278</v>
      </c>
      <c r="G238" t="s">
        <v>560</v>
      </c>
      <c r="H238" t="s">
        <v>561</v>
      </c>
      <c r="I238" t="s">
        <v>1279</v>
      </c>
      <c r="L238" t="s">
        <v>563</v>
      </c>
      <c r="M238" t="s">
        <v>564</v>
      </c>
      <c r="N238" t="s">
        <v>573</v>
      </c>
      <c r="O238" t="s">
        <v>627</v>
      </c>
      <c r="P238" t="s">
        <v>642</v>
      </c>
      <c r="Q238" t="s">
        <v>568</v>
      </c>
      <c r="R238" t="s">
        <v>568</v>
      </c>
      <c r="S238" t="s">
        <v>569</v>
      </c>
      <c r="T238" t="s">
        <v>1280</v>
      </c>
      <c r="U238" t="s">
        <v>1119</v>
      </c>
      <c r="V238" t="s">
        <v>1281</v>
      </c>
      <c r="W238" t="s">
        <v>645</v>
      </c>
      <c r="X238" t="s">
        <v>564</v>
      </c>
      <c r="Y238" t="s">
        <v>574</v>
      </c>
      <c r="Z238" t="s">
        <v>574</v>
      </c>
      <c r="AA238" t="s">
        <v>565</v>
      </c>
      <c r="AB238" t="s">
        <v>1058</v>
      </c>
      <c r="AC238" t="s">
        <v>596</v>
      </c>
      <c r="AD238" t="s">
        <v>1107</v>
      </c>
      <c r="AE238" t="s">
        <v>1282</v>
      </c>
      <c r="AF238" t="str">
        <f>IF(AND(HOUR(O238)&gt;=1,HOUR(O238)&lt;=13),VLOOKUP(B238,Programacion!$A$8:$S$1048576,16,FALSE),VLOOKUP(B238,Programacion!$A$8:$S$1048576,18,FALSE))</f>
        <v xml:space="preserve">  2246</v>
      </c>
      <c r="AG238" t="str">
        <f>IF(AND(HOUR(O238)&gt;=1,HOUR(O238)&lt;=13),VLOOKUP(B238,Programacion!$A$8:$S$1048576,17,FALSE),VLOOKUP(B238,Programacion!$A$8:$S$1048576,19,FALSE))</f>
        <v>GB01</v>
      </c>
    </row>
    <row r="239" spans="1:33" x14ac:dyDescent="0.25">
      <c r="A239" s="33" t="s">
        <v>163</v>
      </c>
      <c r="B239" t="s">
        <v>517</v>
      </c>
      <c r="C239" t="s">
        <v>1277</v>
      </c>
      <c r="D239" t="s">
        <v>557</v>
      </c>
      <c r="E239" t="s">
        <v>558</v>
      </c>
      <c r="F239" t="s">
        <v>1278</v>
      </c>
      <c r="G239" t="s">
        <v>560</v>
      </c>
      <c r="H239" t="s">
        <v>561</v>
      </c>
      <c r="I239" t="s">
        <v>1279</v>
      </c>
      <c r="L239" t="s">
        <v>563</v>
      </c>
      <c r="M239" t="s">
        <v>564</v>
      </c>
      <c r="N239" t="s">
        <v>573</v>
      </c>
      <c r="O239" t="s">
        <v>627</v>
      </c>
      <c r="P239" t="s">
        <v>642</v>
      </c>
      <c r="Q239" t="s">
        <v>568</v>
      </c>
      <c r="R239" t="s">
        <v>568</v>
      </c>
      <c r="S239" t="s">
        <v>569</v>
      </c>
      <c r="T239" t="s">
        <v>1280</v>
      </c>
      <c r="U239" t="s">
        <v>1119</v>
      </c>
      <c r="V239" t="s">
        <v>1281</v>
      </c>
      <c r="W239" t="s">
        <v>645</v>
      </c>
      <c r="X239" t="s">
        <v>564</v>
      </c>
      <c r="Y239" t="s">
        <v>574</v>
      </c>
      <c r="Z239" t="s">
        <v>574</v>
      </c>
      <c r="AA239" t="s">
        <v>565</v>
      </c>
      <c r="AB239" t="s">
        <v>1058</v>
      </c>
      <c r="AC239" t="s">
        <v>598</v>
      </c>
      <c r="AD239" t="s">
        <v>599</v>
      </c>
      <c r="AE239" t="s">
        <v>663</v>
      </c>
      <c r="AF239" t="str">
        <f>IF(AND(HOUR(O239)&gt;=1,HOUR(O239)&lt;=13),VLOOKUP(B239,Programacion!$A$8:$S$1048576,16,FALSE),VLOOKUP(B239,Programacion!$A$8:$S$1048576,18,FALSE))</f>
        <v xml:space="preserve">  2246</v>
      </c>
      <c r="AG239" t="str">
        <f>IF(AND(HOUR(O239)&gt;=1,HOUR(O239)&lt;=13),VLOOKUP(B239,Programacion!$A$8:$S$1048576,17,FALSE),VLOOKUP(B239,Programacion!$A$8:$S$1048576,19,FALSE))</f>
        <v>GB01</v>
      </c>
    </row>
    <row r="240" spans="1:33" x14ac:dyDescent="0.25">
      <c r="A240" s="33" t="s">
        <v>163</v>
      </c>
      <c r="B240" t="s">
        <v>517</v>
      </c>
      <c r="C240" t="s">
        <v>1277</v>
      </c>
      <c r="D240" t="s">
        <v>557</v>
      </c>
      <c r="E240" t="s">
        <v>558</v>
      </c>
      <c r="F240" t="s">
        <v>1283</v>
      </c>
      <c r="G240" t="s">
        <v>560</v>
      </c>
      <c r="H240" t="s">
        <v>561</v>
      </c>
      <c r="I240" t="s">
        <v>1284</v>
      </c>
      <c r="L240" t="s">
        <v>640</v>
      </c>
      <c r="M240" t="s">
        <v>564</v>
      </c>
      <c r="N240" t="s">
        <v>573</v>
      </c>
      <c r="O240" t="s">
        <v>641</v>
      </c>
      <c r="P240" t="s">
        <v>1243</v>
      </c>
      <c r="Q240" t="s">
        <v>568</v>
      </c>
      <c r="R240" t="s">
        <v>568</v>
      </c>
      <c r="S240" t="s">
        <v>569</v>
      </c>
      <c r="T240" t="s">
        <v>1285</v>
      </c>
      <c r="U240" t="s">
        <v>999</v>
      </c>
      <c r="V240" t="s">
        <v>1286</v>
      </c>
      <c r="W240" t="s">
        <v>586</v>
      </c>
      <c r="X240" t="s">
        <v>564</v>
      </c>
      <c r="Y240" t="s">
        <v>574</v>
      </c>
      <c r="Z240" t="s">
        <v>574</v>
      </c>
      <c r="AA240" t="s">
        <v>565</v>
      </c>
      <c r="AB240" t="s">
        <v>1001</v>
      </c>
      <c r="AC240" t="s">
        <v>576</v>
      </c>
      <c r="AD240" t="s">
        <v>589</v>
      </c>
      <c r="AE240" t="s">
        <v>671</v>
      </c>
      <c r="AF240" t="str">
        <f>IF(AND(HOUR(O240)&gt;=1,HOUR(O240)&lt;=13),VLOOKUP(B240,Programacion!$A$8:$S$1048576,16,FALSE),VLOOKUP(B240,Programacion!$A$8:$S$1048576,18,FALSE))</f>
        <v xml:space="preserve">  2246</v>
      </c>
      <c r="AG240" t="str">
        <f>IF(AND(HOUR(O240)&gt;=1,HOUR(O240)&lt;=13),VLOOKUP(B240,Programacion!$A$8:$S$1048576,17,FALSE),VLOOKUP(B240,Programacion!$A$8:$S$1048576,19,FALSE))</f>
        <v>GB01</v>
      </c>
    </row>
    <row r="241" spans="1:33" x14ac:dyDescent="0.25">
      <c r="A241" s="33" t="s">
        <v>163</v>
      </c>
      <c r="B241" t="s">
        <v>517</v>
      </c>
      <c r="C241" t="s">
        <v>1277</v>
      </c>
      <c r="D241" t="s">
        <v>557</v>
      </c>
      <c r="E241" t="s">
        <v>558</v>
      </c>
      <c r="F241" t="s">
        <v>1283</v>
      </c>
      <c r="G241" t="s">
        <v>560</v>
      </c>
      <c r="H241" t="s">
        <v>561</v>
      </c>
      <c r="I241" t="s">
        <v>1284</v>
      </c>
      <c r="L241" t="s">
        <v>640</v>
      </c>
      <c r="M241" t="s">
        <v>564</v>
      </c>
      <c r="N241" t="s">
        <v>573</v>
      </c>
      <c r="O241" t="s">
        <v>641</v>
      </c>
      <c r="P241" t="s">
        <v>1243</v>
      </c>
      <c r="Q241" t="s">
        <v>568</v>
      </c>
      <c r="R241" t="s">
        <v>568</v>
      </c>
      <c r="S241" t="s">
        <v>569</v>
      </c>
      <c r="T241" t="s">
        <v>1285</v>
      </c>
      <c r="U241" t="s">
        <v>999</v>
      </c>
      <c r="V241" t="s">
        <v>1287</v>
      </c>
      <c r="W241" t="s">
        <v>586</v>
      </c>
      <c r="X241" t="s">
        <v>564</v>
      </c>
      <c r="Y241" t="s">
        <v>574</v>
      </c>
      <c r="Z241" t="s">
        <v>574</v>
      </c>
      <c r="AA241" t="s">
        <v>565</v>
      </c>
      <c r="AB241" t="s">
        <v>1001</v>
      </c>
      <c r="AC241" t="s">
        <v>576</v>
      </c>
      <c r="AD241" t="s">
        <v>589</v>
      </c>
      <c r="AE241" t="s">
        <v>637</v>
      </c>
      <c r="AF241" t="str">
        <f>IF(AND(HOUR(O241)&gt;=1,HOUR(O241)&lt;=13),VLOOKUP(B241,Programacion!$A$8:$S$1048576,16,FALSE),VLOOKUP(B241,Programacion!$A$8:$S$1048576,18,FALSE))</f>
        <v xml:space="preserve">  2246</v>
      </c>
      <c r="AG241" t="str">
        <f>IF(AND(HOUR(O241)&gt;=1,HOUR(O241)&lt;=13),VLOOKUP(B241,Programacion!$A$8:$S$1048576,17,FALSE),VLOOKUP(B241,Programacion!$A$8:$S$1048576,19,FALSE))</f>
        <v>GB01</v>
      </c>
    </row>
    <row r="242" spans="1:33" x14ac:dyDescent="0.25">
      <c r="A242" s="33" t="s">
        <v>163</v>
      </c>
      <c r="B242" t="s">
        <v>517</v>
      </c>
      <c r="C242" t="s">
        <v>1277</v>
      </c>
      <c r="D242" t="s">
        <v>557</v>
      </c>
      <c r="E242" t="s">
        <v>558</v>
      </c>
      <c r="F242" t="s">
        <v>1283</v>
      </c>
      <c r="G242" t="s">
        <v>560</v>
      </c>
      <c r="H242" t="s">
        <v>561</v>
      </c>
      <c r="I242" t="s">
        <v>1284</v>
      </c>
      <c r="L242" t="s">
        <v>640</v>
      </c>
      <c r="M242" t="s">
        <v>564</v>
      </c>
      <c r="N242" t="s">
        <v>573</v>
      </c>
      <c r="O242" t="s">
        <v>641</v>
      </c>
      <c r="P242" t="s">
        <v>1243</v>
      </c>
      <c r="Q242" t="s">
        <v>568</v>
      </c>
      <c r="R242" t="s">
        <v>568</v>
      </c>
      <c r="S242" t="s">
        <v>569</v>
      </c>
      <c r="T242" t="s">
        <v>1288</v>
      </c>
      <c r="U242" t="s">
        <v>718</v>
      </c>
      <c r="V242" t="s">
        <v>1289</v>
      </c>
      <c r="W242" t="s">
        <v>645</v>
      </c>
      <c r="X242" t="s">
        <v>564</v>
      </c>
      <c r="Y242" t="s">
        <v>574</v>
      </c>
      <c r="Z242" t="s">
        <v>574</v>
      </c>
      <c r="AA242" t="s">
        <v>565</v>
      </c>
      <c r="AB242" t="s">
        <v>822</v>
      </c>
      <c r="AC242" t="s">
        <v>596</v>
      </c>
      <c r="AD242" t="s">
        <v>599</v>
      </c>
      <c r="AE242" t="s">
        <v>647</v>
      </c>
      <c r="AF242" t="str">
        <f>IF(AND(HOUR(O242)&gt;=1,HOUR(O242)&lt;=13),VLOOKUP(B242,Programacion!$A$8:$S$1048576,16,FALSE),VLOOKUP(B242,Programacion!$A$8:$S$1048576,18,FALSE))</f>
        <v xml:space="preserve">  2246</v>
      </c>
      <c r="AG242" t="str">
        <f>IF(AND(HOUR(O242)&gt;=1,HOUR(O242)&lt;=13),VLOOKUP(B242,Programacion!$A$8:$S$1048576,17,FALSE),VLOOKUP(B242,Programacion!$A$8:$S$1048576,19,FALSE))</f>
        <v>GB01</v>
      </c>
    </row>
    <row r="243" spans="1:33" x14ac:dyDescent="0.25">
      <c r="A243" s="33" t="s">
        <v>163</v>
      </c>
      <c r="B243" t="s">
        <v>517</v>
      </c>
      <c r="C243" t="s">
        <v>1277</v>
      </c>
      <c r="D243" t="s">
        <v>557</v>
      </c>
      <c r="E243" t="s">
        <v>558</v>
      </c>
      <c r="F243" t="s">
        <v>1290</v>
      </c>
      <c r="G243" t="s">
        <v>560</v>
      </c>
      <c r="H243" t="s">
        <v>561</v>
      </c>
      <c r="I243" t="s">
        <v>1291</v>
      </c>
      <c r="L243" t="s">
        <v>603</v>
      </c>
      <c r="M243" t="s">
        <v>564</v>
      </c>
      <c r="N243" t="s">
        <v>573</v>
      </c>
      <c r="O243" t="s">
        <v>604</v>
      </c>
      <c r="P243" t="s">
        <v>1191</v>
      </c>
      <c r="Q243" t="s">
        <v>568</v>
      </c>
      <c r="R243" t="s">
        <v>568</v>
      </c>
      <c r="S243" t="s">
        <v>569</v>
      </c>
      <c r="T243" t="s">
        <v>1292</v>
      </c>
      <c r="U243" t="s">
        <v>1293</v>
      </c>
      <c r="V243" t="s">
        <v>1294</v>
      </c>
      <c r="W243" t="s">
        <v>564</v>
      </c>
      <c r="X243" t="s">
        <v>564</v>
      </c>
      <c r="Y243" t="s">
        <v>574</v>
      </c>
      <c r="Z243" t="s">
        <v>574</v>
      </c>
      <c r="AA243" t="s">
        <v>565</v>
      </c>
      <c r="AB243" t="s">
        <v>862</v>
      </c>
      <c r="AC243" t="s">
        <v>596</v>
      </c>
      <c r="AD243" t="s">
        <v>589</v>
      </c>
      <c r="AE243" t="s">
        <v>1233</v>
      </c>
      <c r="AF243" t="e">
        <f>IF(AND(HOUR(O243)&gt;=1,HOUR(O243)&lt;=13),VLOOKUP(B243,Programacion!$A$8:$S$1048576,16,FALSE),VLOOKUP(B243,Programacion!$A$8:$S$1048576,18,FALSE))</f>
        <v>#N/A</v>
      </c>
      <c r="AG243" t="e">
        <f>IF(AND(HOUR(O243)&gt;=1,HOUR(O243)&lt;=13),VLOOKUP(B243,Programacion!$A$8:$S$1048576,17,FALSE),VLOOKUP(B243,Programacion!$A$8:$S$1048576,19,FALSE))</f>
        <v>#N/A</v>
      </c>
    </row>
    <row r="244" spans="1:33" x14ac:dyDescent="0.25">
      <c r="A244" s="33" t="s">
        <v>163</v>
      </c>
      <c r="B244" t="s">
        <v>517</v>
      </c>
      <c r="C244" t="s">
        <v>1277</v>
      </c>
      <c r="D244" t="s">
        <v>557</v>
      </c>
      <c r="E244" t="s">
        <v>558</v>
      </c>
      <c r="F244" t="s">
        <v>1290</v>
      </c>
      <c r="G244" t="s">
        <v>560</v>
      </c>
      <c r="H244" t="s">
        <v>561</v>
      </c>
      <c r="I244" t="s">
        <v>1291</v>
      </c>
      <c r="L244" t="s">
        <v>603</v>
      </c>
      <c r="M244" t="s">
        <v>564</v>
      </c>
      <c r="N244" t="s">
        <v>573</v>
      </c>
      <c r="O244" t="s">
        <v>604</v>
      </c>
      <c r="P244" t="s">
        <v>1191</v>
      </c>
      <c r="Q244" t="s">
        <v>568</v>
      </c>
      <c r="R244" t="s">
        <v>568</v>
      </c>
      <c r="S244" t="s">
        <v>569</v>
      </c>
      <c r="T244" t="s">
        <v>1295</v>
      </c>
      <c r="U244" t="s">
        <v>1296</v>
      </c>
      <c r="V244" t="s">
        <v>1297</v>
      </c>
      <c r="W244" t="s">
        <v>945</v>
      </c>
      <c r="X244" t="s">
        <v>564</v>
      </c>
      <c r="Y244" t="s">
        <v>574</v>
      </c>
      <c r="Z244" t="s">
        <v>574</v>
      </c>
      <c r="AA244" t="s">
        <v>565</v>
      </c>
      <c r="AB244" t="s">
        <v>1249</v>
      </c>
      <c r="AC244" t="s">
        <v>588</v>
      </c>
      <c r="AD244" t="s">
        <v>599</v>
      </c>
      <c r="AE244" t="s">
        <v>647</v>
      </c>
      <c r="AF244" t="e">
        <f>IF(AND(HOUR(O244)&gt;=1,HOUR(O244)&lt;=13),VLOOKUP(B244,Programacion!$A$8:$S$1048576,16,FALSE),VLOOKUP(B244,Programacion!$A$8:$S$1048576,18,FALSE))</f>
        <v>#N/A</v>
      </c>
      <c r="AG244" t="e">
        <f>IF(AND(HOUR(O244)&gt;=1,HOUR(O244)&lt;=13),VLOOKUP(B244,Programacion!$A$8:$S$1048576,17,FALSE),VLOOKUP(B244,Programacion!$A$8:$S$1048576,19,FALSE))</f>
        <v>#N/A</v>
      </c>
    </row>
    <row r="245" spans="1:33" x14ac:dyDescent="0.25">
      <c r="A245" s="33" t="s">
        <v>163</v>
      </c>
      <c r="B245" t="s">
        <v>517</v>
      </c>
      <c r="C245" t="s">
        <v>1277</v>
      </c>
      <c r="D245" t="s">
        <v>557</v>
      </c>
      <c r="E245" t="s">
        <v>558</v>
      </c>
      <c r="F245" t="s">
        <v>1290</v>
      </c>
      <c r="G245" t="s">
        <v>560</v>
      </c>
      <c r="H245" t="s">
        <v>561</v>
      </c>
      <c r="I245" t="s">
        <v>1291</v>
      </c>
      <c r="L245" t="s">
        <v>603</v>
      </c>
      <c r="M245" t="s">
        <v>564</v>
      </c>
      <c r="N245" t="s">
        <v>573</v>
      </c>
      <c r="O245" t="s">
        <v>604</v>
      </c>
      <c r="P245" t="s">
        <v>1191</v>
      </c>
      <c r="Q245" t="s">
        <v>568</v>
      </c>
      <c r="R245" t="s">
        <v>568</v>
      </c>
      <c r="S245" t="s">
        <v>569</v>
      </c>
      <c r="T245" t="s">
        <v>1295</v>
      </c>
      <c r="U245" t="s">
        <v>1296</v>
      </c>
      <c r="V245" t="s">
        <v>1297</v>
      </c>
      <c r="W245" t="s">
        <v>945</v>
      </c>
      <c r="X245" t="s">
        <v>564</v>
      </c>
      <c r="Y245" t="s">
        <v>574</v>
      </c>
      <c r="Z245" t="s">
        <v>574</v>
      </c>
      <c r="AA245" t="s">
        <v>565</v>
      </c>
      <c r="AB245" t="s">
        <v>1249</v>
      </c>
      <c r="AC245" t="s">
        <v>596</v>
      </c>
      <c r="AD245" t="s">
        <v>599</v>
      </c>
      <c r="AE245" t="s">
        <v>663</v>
      </c>
      <c r="AF245" t="e">
        <f>IF(AND(HOUR(O245)&gt;=1,HOUR(O245)&lt;=13),VLOOKUP(B245,Programacion!$A$8:$S$1048576,16,FALSE),VLOOKUP(B245,Programacion!$A$8:$S$1048576,18,FALSE))</f>
        <v>#N/A</v>
      </c>
      <c r="AG245" t="e">
        <f>IF(AND(HOUR(O245)&gt;=1,HOUR(O245)&lt;=13),VLOOKUP(B245,Programacion!$A$8:$S$1048576,17,FALSE),VLOOKUP(B245,Programacion!$A$8:$S$1048576,19,FALSE))</f>
        <v>#N/A</v>
      </c>
    </row>
    <row r="246" spans="1:33" x14ac:dyDescent="0.25">
      <c r="A246" s="33" t="s">
        <v>163</v>
      </c>
      <c r="B246" t="s">
        <v>517</v>
      </c>
      <c r="C246" t="s">
        <v>1277</v>
      </c>
      <c r="D246" t="s">
        <v>557</v>
      </c>
      <c r="E246" t="s">
        <v>558</v>
      </c>
      <c r="F246" t="s">
        <v>1290</v>
      </c>
      <c r="G246" t="s">
        <v>560</v>
      </c>
      <c r="H246" t="s">
        <v>561</v>
      </c>
      <c r="I246" t="s">
        <v>1291</v>
      </c>
      <c r="L246" t="s">
        <v>603</v>
      </c>
      <c r="M246" t="s">
        <v>564</v>
      </c>
      <c r="N246" t="s">
        <v>573</v>
      </c>
      <c r="O246" t="s">
        <v>604</v>
      </c>
      <c r="P246" t="s">
        <v>1191</v>
      </c>
      <c r="Q246" t="s">
        <v>568</v>
      </c>
      <c r="R246" t="s">
        <v>568</v>
      </c>
      <c r="S246" t="s">
        <v>569</v>
      </c>
      <c r="T246" t="s">
        <v>1295</v>
      </c>
      <c r="U246" t="s">
        <v>1296</v>
      </c>
      <c r="V246" t="s">
        <v>1297</v>
      </c>
      <c r="W246" t="s">
        <v>945</v>
      </c>
      <c r="X246" t="s">
        <v>564</v>
      </c>
      <c r="Y246" t="s">
        <v>574</v>
      </c>
      <c r="Z246" t="s">
        <v>574</v>
      </c>
      <c r="AA246" t="s">
        <v>565</v>
      </c>
      <c r="AB246" t="s">
        <v>1249</v>
      </c>
      <c r="AC246" t="s">
        <v>576</v>
      </c>
      <c r="AD246" t="s">
        <v>599</v>
      </c>
      <c r="AE246" t="s">
        <v>600</v>
      </c>
      <c r="AF246" t="e">
        <f>IF(AND(HOUR(O246)&gt;=1,HOUR(O246)&lt;=13),VLOOKUP(B246,Programacion!$A$8:$S$1048576,16,FALSE),VLOOKUP(B246,Programacion!$A$8:$S$1048576,18,FALSE))</f>
        <v>#N/A</v>
      </c>
      <c r="AG246" t="e">
        <f>IF(AND(HOUR(O246)&gt;=1,HOUR(O246)&lt;=13),VLOOKUP(B246,Programacion!$A$8:$S$1048576,17,FALSE),VLOOKUP(B246,Programacion!$A$8:$S$1048576,19,FALSE))</f>
        <v>#N/A</v>
      </c>
    </row>
    <row r="247" spans="1:33" x14ac:dyDescent="0.25">
      <c r="A247" s="33" t="s">
        <v>163</v>
      </c>
      <c r="B247" t="s">
        <v>517</v>
      </c>
      <c r="C247" t="s">
        <v>1277</v>
      </c>
      <c r="D247" t="s">
        <v>557</v>
      </c>
      <c r="E247" t="s">
        <v>558</v>
      </c>
      <c r="F247" t="s">
        <v>1298</v>
      </c>
      <c r="G247" t="s">
        <v>560</v>
      </c>
      <c r="H247" t="s">
        <v>561</v>
      </c>
      <c r="I247" t="s">
        <v>1299</v>
      </c>
      <c r="L247" t="s">
        <v>621</v>
      </c>
      <c r="M247" t="s">
        <v>564</v>
      </c>
      <c r="N247" t="s">
        <v>573</v>
      </c>
      <c r="O247" t="s">
        <v>1015</v>
      </c>
      <c r="P247" t="s">
        <v>605</v>
      </c>
      <c r="Q247" t="s">
        <v>568</v>
      </c>
      <c r="R247" t="s">
        <v>568</v>
      </c>
      <c r="S247" t="s">
        <v>569</v>
      </c>
      <c r="T247" t="s">
        <v>1300</v>
      </c>
      <c r="U247" t="s">
        <v>1082</v>
      </c>
      <c r="V247" t="s">
        <v>1301</v>
      </c>
      <c r="W247" t="s">
        <v>586</v>
      </c>
      <c r="X247" t="s">
        <v>564</v>
      </c>
      <c r="Y247" t="s">
        <v>574</v>
      </c>
      <c r="Z247" t="s">
        <v>574</v>
      </c>
      <c r="AA247" t="s">
        <v>565</v>
      </c>
      <c r="AB247" t="s">
        <v>1084</v>
      </c>
      <c r="AC247" t="s">
        <v>576</v>
      </c>
      <c r="AD247" t="s">
        <v>599</v>
      </c>
      <c r="AE247" t="s">
        <v>647</v>
      </c>
      <c r="AF247" t="e">
        <f>IF(AND(HOUR(O247)&gt;=1,HOUR(O247)&lt;=13),VLOOKUP(B247,Programacion!$A$8:$S$1048576,16,FALSE),VLOOKUP(B247,Programacion!$A$8:$S$1048576,18,FALSE))</f>
        <v>#N/A</v>
      </c>
      <c r="AG247" t="e">
        <f>IF(AND(HOUR(O247)&gt;=1,HOUR(O247)&lt;=13),VLOOKUP(B247,Programacion!$A$8:$S$1048576,17,FALSE),VLOOKUP(B247,Programacion!$A$8:$S$1048576,19,FALSE))</f>
        <v>#N/A</v>
      </c>
    </row>
    <row r="248" spans="1:33" x14ac:dyDescent="0.25">
      <c r="A248" s="33" t="s">
        <v>163</v>
      </c>
      <c r="B248" t="s">
        <v>517</v>
      </c>
      <c r="C248" t="s">
        <v>1277</v>
      </c>
      <c r="D248" t="s">
        <v>557</v>
      </c>
      <c r="E248" t="s">
        <v>558</v>
      </c>
      <c r="F248" t="s">
        <v>1298</v>
      </c>
      <c r="G248" t="s">
        <v>560</v>
      </c>
      <c r="H248" t="s">
        <v>561</v>
      </c>
      <c r="I248" t="s">
        <v>1299</v>
      </c>
      <c r="L248" t="s">
        <v>621</v>
      </c>
      <c r="M248" t="s">
        <v>564</v>
      </c>
      <c r="N248" t="s">
        <v>573</v>
      </c>
      <c r="O248" t="s">
        <v>1015</v>
      </c>
      <c r="P248" t="s">
        <v>605</v>
      </c>
      <c r="Q248" t="s">
        <v>568</v>
      </c>
      <c r="R248" t="s">
        <v>568</v>
      </c>
      <c r="S248" t="s">
        <v>569</v>
      </c>
      <c r="T248" t="s">
        <v>1300</v>
      </c>
      <c r="U248" t="s">
        <v>1082</v>
      </c>
      <c r="V248" t="s">
        <v>1301</v>
      </c>
      <c r="W248" t="s">
        <v>586</v>
      </c>
      <c r="X248" t="s">
        <v>564</v>
      </c>
      <c r="Y248" t="s">
        <v>574</v>
      </c>
      <c r="Z248" t="s">
        <v>574</v>
      </c>
      <c r="AA248" t="s">
        <v>565</v>
      </c>
      <c r="AB248" t="s">
        <v>1084</v>
      </c>
      <c r="AC248" t="s">
        <v>588</v>
      </c>
      <c r="AD248" t="s">
        <v>599</v>
      </c>
      <c r="AE248" t="s">
        <v>663</v>
      </c>
      <c r="AF248" t="e">
        <f>IF(AND(HOUR(O248)&gt;=1,HOUR(O248)&lt;=13),VLOOKUP(B248,Programacion!$A$8:$S$1048576,16,FALSE),VLOOKUP(B248,Programacion!$A$8:$S$1048576,18,FALSE))</f>
        <v>#N/A</v>
      </c>
      <c r="AG248" t="e">
        <f>IF(AND(HOUR(O248)&gt;=1,HOUR(O248)&lt;=13),VLOOKUP(B248,Programacion!$A$8:$S$1048576,17,FALSE),VLOOKUP(B248,Programacion!$A$8:$S$1048576,19,FALSE))</f>
        <v>#N/A</v>
      </c>
    </row>
    <row r="249" spans="1:33" x14ac:dyDescent="0.25">
      <c r="A249" s="33" t="s">
        <v>163</v>
      </c>
      <c r="B249" t="s">
        <v>517</v>
      </c>
      <c r="C249" t="s">
        <v>1277</v>
      </c>
      <c r="D249" t="s">
        <v>557</v>
      </c>
      <c r="E249" t="s">
        <v>558</v>
      </c>
      <c r="F249" t="s">
        <v>1298</v>
      </c>
      <c r="G249" t="s">
        <v>560</v>
      </c>
      <c r="H249" t="s">
        <v>561</v>
      </c>
      <c r="I249" t="s">
        <v>1299</v>
      </c>
      <c r="L249" t="s">
        <v>621</v>
      </c>
      <c r="M249" t="s">
        <v>564</v>
      </c>
      <c r="N249" t="s">
        <v>573</v>
      </c>
      <c r="O249" t="s">
        <v>1015</v>
      </c>
      <c r="P249" t="s">
        <v>605</v>
      </c>
      <c r="Q249" t="s">
        <v>568</v>
      </c>
      <c r="R249" t="s">
        <v>568</v>
      </c>
      <c r="S249" t="s">
        <v>569</v>
      </c>
      <c r="T249" t="s">
        <v>1300</v>
      </c>
      <c r="U249" t="s">
        <v>1082</v>
      </c>
      <c r="V249" t="s">
        <v>1301</v>
      </c>
      <c r="W249" t="s">
        <v>586</v>
      </c>
      <c r="X249" t="s">
        <v>564</v>
      </c>
      <c r="Y249" t="s">
        <v>574</v>
      </c>
      <c r="Z249" t="s">
        <v>574</v>
      </c>
      <c r="AA249" t="s">
        <v>565</v>
      </c>
      <c r="AB249" t="s">
        <v>1084</v>
      </c>
      <c r="AC249" t="s">
        <v>596</v>
      </c>
      <c r="AD249" t="s">
        <v>656</v>
      </c>
      <c r="AE249" t="s">
        <v>657</v>
      </c>
      <c r="AF249" t="e">
        <f>IF(AND(HOUR(O249)&gt;=1,HOUR(O249)&lt;=13),VLOOKUP(B249,Programacion!$A$8:$S$1048576,16,FALSE),VLOOKUP(B249,Programacion!$A$8:$S$1048576,18,FALSE))</f>
        <v>#N/A</v>
      </c>
      <c r="AG249" t="e">
        <f>IF(AND(HOUR(O249)&gt;=1,HOUR(O249)&lt;=13),VLOOKUP(B249,Programacion!$A$8:$S$1048576,17,FALSE),VLOOKUP(B249,Programacion!$A$8:$S$1048576,19,FALSE))</f>
        <v>#N/A</v>
      </c>
    </row>
    <row r="250" spans="1:33" x14ac:dyDescent="0.25">
      <c r="A250" s="33" t="s">
        <v>1302</v>
      </c>
      <c r="B250" t="s">
        <v>479</v>
      </c>
      <c r="C250" t="s">
        <v>1303</v>
      </c>
      <c r="D250" t="s">
        <v>557</v>
      </c>
      <c r="E250" t="s">
        <v>558</v>
      </c>
      <c r="F250" t="s">
        <v>1304</v>
      </c>
      <c r="G250" t="s">
        <v>560</v>
      </c>
      <c r="H250" t="s">
        <v>561</v>
      </c>
      <c r="I250" t="s">
        <v>1305</v>
      </c>
      <c r="L250" t="s">
        <v>581</v>
      </c>
      <c r="M250" t="s">
        <v>564</v>
      </c>
      <c r="N250" t="s">
        <v>565</v>
      </c>
      <c r="O250" t="s">
        <v>715</v>
      </c>
      <c r="P250" t="s">
        <v>716</v>
      </c>
      <c r="Q250" t="s">
        <v>704</v>
      </c>
      <c r="R250" t="s">
        <v>704</v>
      </c>
      <c r="S250" t="s">
        <v>1259</v>
      </c>
      <c r="T250" t="s">
        <v>1306</v>
      </c>
      <c r="U250" t="s">
        <v>718</v>
      </c>
      <c r="V250" t="s">
        <v>1307</v>
      </c>
      <c r="W250" t="s">
        <v>594</v>
      </c>
      <c r="X250" t="s">
        <v>564</v>
      </c>
      <c r="Y250" t="s">
        <v>574</v>
      </c>
      <c r="Z250" t="s">
        <v>574</v>
      </c>
      <c r="AA250" t="s">
        <v>565</v>
      </c>
      <c r="AB250" t="s">
        <v>822</v>
      </c>
      <c r="AC250" t="s">
        <v>576</v>
      </c>
      <c r="AD250" t="s">
        <v>704</v>
      </c>
      <c r="AE250" t="s">
        <v>1308</v>
      </c>
      <c r="AF250" t="str">
        <f>IF(AND(HOUR(O250)&gt;=1,HOUR(O250)&lt;=13),VLOOKUP(B250,Programacion!$A$8:$S$1048576,16,FALSE),VLOOKUP(B250,Programacion!$A$8:$S$1048576,18,FALSE))</f>
        <v xml:space="preserve">  2215</v>
      </c>
      <c r="AG250" t="str">
        <f>IF(AND(HOUR(O250)&gt;=1,HOUR(O250)&lt;=13),VLOOKUP(B250,Programacion!$A$8:$S$1048576,17,FALSE),VLOOKUP(B250,Programacion!$A$8:$S$1048576,19,FALSE))</f>
        <v>GB01</v>
      </c>
    </row>
    <row r="251" spans="1:33" x14ac:dyDescent="0.25">
      <c r="A251" s="33" t="s">
        <v>1302</v>
      </c>
      <c r="B251" t="s">
        <v>479</v>
      </c>
      <c r="C251" t="s">
        <v>1303</v>
      </c>
      <c r="D251" t="s">
        <v>557</v>
      </c>
      <c r="E251" t="s">
        <v>558</v>
      </c>
      <c r="F251" t="s">
        <v>1309</v>
      </c>
      <c r="G251" t="s">
        <v>560</v>
      </c>
      <c r="H251" t="s">
        <v>561</v>
      </c>
      <c r="I251" t="s">
        <v>1310</v>
      </c>
      <c r="L251" t="s">
        <v>959</v>
      </c>
      <c r="M251" t="s">
        <v>564</v>
      </c>
      <c r="N251" t="s">
        <v>573</v>
      </c>
      <c r="O251" t="s">
        <v>1311</v>
      </c>
      <c r="P251" t="s">
        <v>738</v>
      </c>
      <c r="Q251" t="s">
        <v>704</v>
      </c>
      <c r="R251" t="s">
        <v>704</v>
      </c>
      <c r="S251" t="s">
        <v>1259</v>
      </c>
      <c r="T251" t="s">
        <v>1312</v>
      </c>
      <c r="U251" t="s">
        <v>1313</v>
      </c>
      <c r="V251" t="s">
        <v>1314</v>
      </c>
      <c r="W251" t="s">
        <v>1072</v>
      </c>
      <c r="X251" t="s">
        <v>564</v>
      </c>
      <c r="Y251" t="s">
        <v>574</v>
      </c>
      <c r="Z251" t="s">
        <v>574</v>
      </c>
      <c r="AA251" t="s">
        <v>565</v>
      </c>
      <c r="AB251" t="s">
        <v>1315</v>
      </c>
      <c r="AC251" t="s">
        <v>598</v>
      </c>
      <c r="AD251" t="s">
        <v>742</v>
      </c>
      <c r="AE251" t="s">
        <v>671</v>
      </c>
      <c r="AF251" t="str">
        <f>IF(AND(HOUR(O251)&gt;=1,HOUR(O251)&lt;=13),VLOOKUP(B251,Programacion!$A$8:$S$1048576,16,FALSE),VLOOKUP(B251,Programacion!$A$8:$S$1048576,18,FALSE))</f>
        <v xml:space="preserve">  2215</v>
      </c>
      <c r="AG251" t="str">
        <f>IF(AND(HOUR(O251)&gt;=1,HOUR(O251)&lt;=13),VLOOKUP(B251,Programacion!$A$8:$S$1048576,17,FALSE),VLOOKUP(B251,Programacion!$A$8:$S$1048576,19,FALSE))</f>
        <v>GB01</v>
      </c>
    </row>
    <row r="252" spans="1:33" x14ac:dyDescent="0.25">
      <c r="A252" s="33" t="s">
        <v>1302</v>
      </c>
      <c r="B252" t="s">
        <v>479</v>
      </c>
      <c r="C252" t="s">
        <v>1303</v>
      </c>
      <c r="D252" t="s">
        <v>557</v>
      </c>
      <c r="E252" t="s">
        <v>558</v>
      </c>
      <c r="F252" t="s">
        <v>1309</v>
      </c>
      <c r="G252" t="s">
        <v>560</v>
      </c>
      <c r="H252" t="s">
        <v>561</v>
      </c>
      <c r="I252" t="s">
        <v>1310</v>
      </c>
      <c r="L252" t="s">
        <v>959</v>
      </c>
      <c r="M252" t="s">
        <v>564</v>
      </c>
      <c r="N252" t="s">
        <v>573</v>
      </c>
      <c r="O252" t="s">
        <v>1311</v>
      </c>
      <c r="P252" t="s">
        <v>738</v>
      </c>
      <c r="Q252" t="s">
        <v>704</v>
      </c>
      <c r="R252" t="s">
        <v>704</v>
      </c>
      <c r="S252" t="s">
        <v>1259</v>
      </c>
      <c r="T252" t="s">
        <v>1312</v>
      </c>
      <c r="U252" t="s">
        <v>1313</v>
      </c>
      <c r="V252" t="s">
        <v>1314</v>
      </c>
      <c r="W252" t="s">
        <v>1072</v>
      </c>
      <c r="X252" t="s">
        <v>564</v>
      </c>
      <c r="Y252" t="s">
        <v>574</v>
      </c>
      <c r="Z252" t="s">
        <v>574</v>
      </c>
      <c r="AA252" t="s">
        <v>565</v>
      </c>
      <c r="AB252" t="s">
        <v>1315</v>
      </c>
      <c r="AC252" t="s">
        <v>596</v>
      </c>
      <c r="AD252" t="s">
        <v>693</v>
      </c>
      <c r="AE252" t="s">
        <v>859</v>
      </c>
      <c r="AF252" t="str">
        <f>IF(AND(HOUR(O252)&gt;=1,HOUR(O252)&lt;=13),VLOOKUP(B252,Programacion!$A$8:$S$1048576,16,FALSE),VLOOKUP(B252,Programacion!$A$8:$S$1048576,18,FALSE))</f>
        <v xml:space="preserve">  2215</v>
      </c>
      <c r="AG252" t="str">
        <f>IF(AND(HOUR(O252)&gt;=1,HOUR(O252)&lt;=13),VLOOKUP(B252,Programacion!$A$8:$S$1048576,17,FALSE),VLOOKUP(B252,Programacion!$A$8:$S$1048576,19,FALSE))</f>
        <v>GB01</v>
      </c>
    </row>
    <row r="253" spans="1:33" x14ac:dyDescent="0.25">
      <c r="A253" s="33" t="s">
        <v>1302</v>
      </c>
      <c r="B253" t="s">
        <v>479</v>
      </c>
      <c r="C253" t="s">
        <v>1303</v>
      </c>
      <c r="D253" t="s">
        <v>557</v>
      </c>
      <c r="E253" t="s">
        <v>558</v>
      </c>
      <c r="F253" t="s">
        <v>1309</v>
      </c>
      <c r="G253" t="s">
        <v>560</v>
      </c>
      <c r="H253" t="s">
        <v>561</v>
      </c>
      <c r="I253" t="s">
        <v>1310</v>
      </c>
      <c r="L253" t="s">
        <v>959</v>
      </c>
      <c r="M253" t="s">
        <v>564</v>
      </c>
      <c r="N253" t="s">
        <v>573</v>
      </c>
      <c r="O253" t="s">
        <v>1311</v>
      </c>
      <c r="P253" t="s">
        <v>738</v>
      </c>
      <c r="Q253" t="s">
        <v>704</v>
      </c>
      <c r="R253" t="s">
        <v>704</v>
      </c>
      <c r="S253" t="s">
        <v>1259</v>
      </c>
      <c r="T253" t="s">
        <v>1312</v>
      </c>
      <c r="U253" t="s">
        <v>1313</v>
      </c>
      <c r="V253" t="s">
        <v>1314</v>
      </c>
      <c r="W253" t="s">
        <v>1072</v>
      </c>
      <c r="X253" t="s">
        <v>564</v>
      </c>
      <c r="Y253" t="s">
        <v>574</v>
      </c>
      <c r="Z253" t="s">
        <v>574</v>
      </c>
      <c r="AA253" t="s">
        <v>565</v>
      </c>
      <c r="AB253" t="s">
        <v>1315</v>
      </c>
      <c r="AC253" t="s">
        <v>588</v>
      </c>
      <c r="AD253" t="s">
        <v>695</v>
      </c>
      <c r="AE253" t="s">
        <v>647</v>
      </c>
      <c r="AF253" t="str">
        <f>IF(AND(HOUR(O253)&gt;=1,HOUR(O253)&lt;=13),VLOOKUP(B253,Programacion!$A$8:$S$1048576,16,FALSE),VLOOKUP(B253,Programacion!$A$8:$S$1048576,18,FALSE))</f>
        <v xml:space="preserve">  2215</v>
      </c>
      <c r="AG253" t="str">
        <f>IF(AND(HOUR(O253)&gt;=1,HOUR(O253)&lt;=13),VLOOKUP(B253,Programacion!$A$8:$S$1048576,17,FALSE),VLOOKUP(B253,Programacion!$A$8:$S$1048576,19,FALSE))</f>
        <v>GB01</v>
      </c>
    </row>
    <row r="254" spans="1:33" x14ac:dyDescent="0.25">
      <c r="A254" s="33" t="s">
        <v>1302</v>
      </c>
      <c r="B254" t="s">
        <v>479</v>
      </c>
      <c r="C254" t="s">
        <v>1303</v>
      </c>
      <c r="D254" t="s">
        <v>557</v>
      </c>
      <c r="E254" t="s">
        <v>558</v>
      </c>
      <c r="F254" t="s">
        <v>1309</v>
      </c>
      <c r="G254" t="s">
        <v>560</v>
      </c>
      <c r="H254" t="s">
        <v>561</v>
      </c>
      <c r="I254" t="s">
        <v>1310</v>
      </c>
      <c r="L254" t="s">
        <v>959</v>
      </c>
      <c r="M254" t="s">
        <v>564</v>
      </c>
      <c r="N254" t="s">
        <v>573</v>
      </c>
      <c r="O254" t="s">
        <v>1311</v>
      </c>
      <c r="P254" t="s">
        <v>738</v>
      </c>
      <c r="Q254" t="s">
        <v>704</v>
      </c>
      <c r="R254" t="s">
        <v>704</v>
      </c>
      <c r="S254" t="s">
        <v>1259</v>
      </c>
      <c r="T254" t="s">
        <v>1312</v>
      </c>
      <c r="U254" t="s">
        <v>1313</v>
      </c>
      <c r="V254" t="s">
        <v>1314</v>
      </c>
      <c r="W254" t="s">
        <v>1072</v>
      </c>
      <c r="X254" t="s">
        <v>564</v>
      </c>
      <c r="Y254" t="s">
        <v>574</v>
      </c>
      <c r="Z254" t="s">
        <v>574</v>
      </c>
      <c r="AA254" t="s">
        <v>565</v>
      </c>
      <c r="AB254" t="s">
        <v>1315</v>
      </c>
      <c r="AC254" t="s">
        <v>576</v>
      </c>
      <c r="AD254" t="s">
        <v>589</v>
      </c>
      <c r="AE254" t="s">
        <v>663</v>
      </c>
      <c r="AF254" t="str">
        <f>IF(AND(HOUR(O254)&gt;=1,HOUR(O254)&lt;=13),VLOOKUP(B254,Programacion!$A$8:$S$1048576,16,FALSE),VLOOKUP(B254,Programacion!$A$8:$S$1048576,18,FALSE))</f>
        <v xml:space="preserve">  2215</v>
      </c>
      <c r="AG254" t="str">
        <f>IF(AND(HOUR(O254)&gt;=1,HOUR(O254)&lt;=13),VLOOKUP(B254,Programacion!$A$8:$S$1048576,17,FALSE),VLOOKUP(B254,Programacion!$A$8:$S$1048576,19,FALSE))</f>
        <v>GB01</v>
      </c>
    </row>
    <row r="255" spans="1:33" x14ac:dyDescent="0.25">
      <c r="A255" s="33" t="s">
        <v>43</v>
      </c>
      <c r="B255" t="s">
        <v>494</v>
      </c>
      <c r="C255" t="s">
        <v>1316</v>
      </c>
      <c r="D255" t="s">
        <v>557</v>
      </c>
      <c r="E255" t="s">
        <v>558</v>
      </c>
      <c r="F255" t="s">
        <v>1317</v>
      </c>
      <c r="G255" t="s">
        <v>560</v>
      </c>
      <c r="H255" t="s">
        <v>561</v>
      </c>
      <c r="I255" t="s">
        <v>1318</v>
      </c>
      <c r="L255" t="s">
        <v>563</v>
      </c>
      <c r="M255" t="s">
        <v>564</v>
      </c>
      <c r="N255" t="s">
        <v>573</v>
      </c>
      <c r="O255" t="s">
        <v>627</v>
      </c>
      <c r="P255" t="s">
        <v>582</v>
      </c>
      <c r="Q255" t="s">
        <v>568</v>
      </c>
      <c r="R255" t="s">
        <v>568</v>
      </c>
      <c r="S255" t="s">
        <v>569</v>
      </c>
      <c r="T255" t="s">
        <v>1319</v>
      </c>
      <c r="U255" t="s">
        <v>911</v>
      </c>
      <c r="V255" t="s">
        <v>1320</v>
      </c>
      <c r="W255" t="s">
        <v>586</v>
      </c>
      <c r="X255" t="s">
        <v>564</v>
      </c>
      <c r="Y255" t="s">
        <v>574</v>
      </c>
      <c r="Z255" t="s">
        <v>574</v>
      </c>
      <c r="AA255" t="s">
        <v>565</v>
      </c>
      <c r="AB255" t="s">
        <v>913</v>
      </c>
      <c r="AC255" t="s">
        <v>588</v>
      </c>
      <c r="AD255" t="s">
        <v>589</v>
      </c>
      <c r="AE255" t="s">
        <v>671</v>
      </c>
      <c r="AF255" t="str">
        <f>IF(AND(HOUR(O255)&gt;=1,HOUR(O255)&lt;=13),VLOOKUP(B255,Programacion!$A$8:$S$1048576,16,FALSE),VLOOKUP(B255,Programacion!$A$8:$S$1048576,18,FALSE))</f>
        <v xml:space="preserve">  2128</v>
      </c>
      <c r="AG255" t="str">
        <f>IF(AND(HOUR(O255)&gt;=1,HOUR(O255)&lt;=13),VLOOKUP(B255,Programacion!$A$8:$S$1048576,17,FALSE),VLOOKUP(B255,Programacion!$A$8:$S$1048576,19,FALSE))</f>
        <v>GB01</v>
      </c>
    </row>
    <row r="256" spans="1:33" x14ac:dyDescent="0.25">
      <c r="A256" s="33" t="s">
        <v>43</v>
      </c>
      <c r="B256" t="s">
        <v>494</v>
      </c>
      <c r="C256" t="s">
        <v>1316</v>
      </c>
      <c r="D256" t="s">
        <v>557</v>
      </c>
      <c r="E256" t="s">
        <v>558</v>
      </c>
      <c r="F256" t="s">
        <v>1317</v>
      </c>
      <c r="G256" t="s">
        <v>560</v>
      </c>
      <c r="H256" t="s">
        <v>561</v>
      </c>
      <c r="I256" t="s">
        <v>1318</v>
      </c>
      <c r="L256" t="s">
        <v>563</v>
      </c>
      <c r="M256" t="s">
        <v>564</v>
      </c>
      <c r="N256" t="s">
        <v>573</v>
      </c>
      <c r="O256" t="s">
        <v>627</v>
      </c>
      <c r="P256" t="s">
        <v>582</v>
      </c>
      <c r="Q256" t="s">
        <v>568</v>
      </c>
      <c r="R256" t="s">
        <v>568</v>
      </c>
      <c r="S256" t="s">
        <v>569</v>
      </c>
      <c r="T256" t="s">
        <v>1252</v>
      </c>
      <c r="U256" t="s">
        <v>1265</v>
      </c>
      <c r="V256" t="s">
        <v>1321</v>
      </c>
      <c r="W256" t="s">
        <v>594</v>
      </c>
      <c r="X256" t="s">
        <v>564</v>
      </c>
      <c r="Y256" t="s">
        <v>574</v>
      </c>
      <c r="Z256" t="s">
        <v>574</v>
      </c>
      <c r="AA256" t="s">
        <v>565</v>
      </c>
      <c r="AB256" t="s">
        <v>581</v>
      </c>
      <c r="AC256" t="s">
        <v>596</v>
      </c>
      <c r="AD256" t="s">
        <v>656</v>
      </c>
      <c r="AE256" t="s">
        <v>1322</v>
      </c>
      <c r="AF256" t="str">
        <f>IF(AND(HOUR(O256)&gt;=1,HOUR(O256)&lt;=13),VLOOKUP(B256,Programacion!$A$8:$S$1048576,16,FALSE),VLOOKUP(B256,Programacion!$A$8:$S$1048576,18,FALSE))</f>
        <v xml:space="preserve">  2128</v>
      </c>
      <c r="AG256" t="str">
        <f>IF(AND(HOUR(O256)&gt;=1,HOUR(O256)&lt;=13),VLOOKUP(B256,Programacion!$A$8:$S$1048576,17,FALSE),VLOOKUP(B256,Programacion!$A$8:$S$1048576,19,FALSE))</f>
        <v>GB01</v>
      </c>
    </row>
    <row r="257" spans="1:33" x14ac:dyDescent="0.25">
      <c r="A257" s="33" t="s">
        <v>43</v>
      </c>
      <c r="B257" t="s">
        <v>494</v>
      </c>
      <c r="C257" t="s">
        <v>1316</v>
      </c>
      <c r="D257" t="s">
        <v>557</v>
      </c>
      <c r="E257" t="s">
        <v>558</v>
      </c>
      <c r="F257" t="s">
        <v>1323</v>
      </c>
      <c r="G257" t="s">
        <v>560</v>
      </c>
      <c r="H257" t="s">
        <v>561</v>
      </c>
      <c r="I257" t="s">
        <v>1324</v>
      </c>
      <c r="L257" t="s">
        <v>819</v>
      </c>
      <c r="M257" t="s">
        <v>564</v>
      </c>
      <c r="N257" t="s">
        <v>573</v>
      </c>
      <c r="O257" t="s">
        <v>972</v>
      </c>
      <c r="P257" t="s">
        <v>854</v>
      </c>
      <c r="Q257" t="s">
        <v>568</v>
      </c>
      <c r="R257" t="s">
        <v>568</v>
      </c>
      <c r="S257" t="s">
        <v>569</v>
      </c>
      <c r="T257" t="s">
        <v>1325</v>
      </c>
      <c r="U257" t="s">
        <v>777</v>
      </c>
      <c r="V257" t="s">
        <v>1326</v>
      </c>
      <c r="W257" t="s">
        <v>565</v>
      </c>
      <c r="X257" t="s">
        <v>564</v>
      </c>
      <c r="Y257" t="s">
        <v>574</v>
      </c>
      <c r="Z257" t="s">
        <v>574</v>
      </c>
      <c r="AA257" t="s">
        <v>565</v>
      </c>
      <c r="AB257" t="s">
        <v>955</v>
      </c>
      <c r="AC257" t="s">
        <v>598</v>
      </c>
      <c r="AD257" t="s">
        <v>599</v>
      </c>
      <c r="AE257" t="s">
        <v>618</v>
      </c>
      <c r="AF257" t="str">
        <f>IF(AND(HOUR(O257)&gt;=1,HOUR(O257)&lt;=13),VLOOKUP(B257,Programacion!$A$8:$S$1048576,16,FALSE),VLOOKUP(B257,Programacion!$A$8:$S$1048576,18,FALSE))</f>
        <v xml:space="preserve">  2128</v>
      </c>
      <c r="AG257" t="str">
        <f>IF(AND(HOUR(O257)&gt;=1,HOUR(O257)&lt;=13),VLOOKUP(B257,Programacion!$A$8:$S$1048576,17,FALSE),VLOOKUP(B257,Programacion!$A$8:$S$1048576,19,FALSE))</f>
        <v>GB01</v>
      </c>
    </row>
    <row r="258" spans="1:33" x14ac:dyDescent="0.25">
      <c r="A258" s="33" t="s">
        <v>43</v>
      </c>
      <c r="B258" t="s">
        <v>494</v>
      </c>
      <c r="C258" t="s">
        <v>1316</v>
      </c>
      <c r="D258" t="s">
        <v>557</v>
      </c>
      <c r="E258" t="s">
        <v>558</v>
      </c>
      <c r="F258" t="s">
        <v>1323</v>
      </c>
      <c r="G258" t="s">
        <v>560</v>
      </c>
      <c r="H258" t="s">
        <v>561</v>
      </c>
      <c r="I258" t="s">
        <v>1324</v>
      </c>
      <c r="L258" t="s">
        <v>819</v>
      </c>
      <c r="M258" t="s">
        <v>564</v>
      </c>
      <c r="N258" t="s">
        <v>573</v>
      </c>
      <c r="O258" t="s">
        <v>972</v>
      </c>
      <c r="P258" t="s">
        <v>854</v>
      </c>
      <c r="Q258" t="s">
        <v>568</v>
      </c>
      <c r="R258" t="s">
        <v>568</v>
      </c>
      <c r="S258" t="s">
        <v>569</v>
      </c>
      <c r="T258" t="s">
        <v>1325</v>
      </c>
      <c r="U258" t="s">
        <v>777</v>
      </c>
      <c r="V258" t="s">
        <v>1326</v>
      </c>
      <c r="W258" t="s">
        <v>565</v>
      </c>
      <c r="X258" t="s">
        <v>564</v>
      </c>
      <c r="Y258" t="s">
        <v>574</v>
      </c>
      <c r="Z258" t="s">
        <v>574</v>
      </c>
      <c r="AA258" t="s">
        <v>565</v>
      </c>
      <c r="AB258" t="s">
        <v>955</v>
      </c>
      <c r="AC258" t="s">
        <v>576</v>
      </c>
      <c r="AD258" t="s">
        <v>589</v>
      </c>
      <c r="AE258" t="s">
        <v>637</v>
      </c>
      <c r="AF258" t="str">
        <f>IF(AND(HOUR(O258)&gt;=1,HOUR(O258)&lt;=13),VLOOKUP(B258,Programacion!$A$8:$S$1048576,16,FALSE),VLOOKUP(B258,Programacion!$A$8:$S$1048576,18,FALSE))</f>
        <v xml:space="preserve">  2128</v>
      </c>
      <c r="AG258" t="str">
        <f>IF(AND(HOUR(O258)&gt;=1,HOUR(O258)&lt;=13),VLOOKUP(B258,Programacion!$A$8:$S$1048576,17,FALSE),VLOOKUP(B258,Programacion!$A$8:$S$1048576,19,FALSE))</f>
        <v>GB01</v>
      </c>
    </row>
    <row r="259" spans="1:33" x14ac:dyDescent="0.25">
      <c r="A259" s="33" t="s">
        <v>43</v>
      </c>
      <c r="B259" t="s">
        <v>494</v>
      </c>
      <c r="C259" t="s">
        <v>1316</v>
      </c>
      <c r="D259" t="s">
        <v>557</v>
      </c>
      <c r="E259" t="s">
        <v>558</v>
      </c>
      <c r="F259" t="s">
        <v>1323</v>
      </c>
      <c r="G259" t="s">
        <v>560</v>
      </c>
      <c r="H259" t="s">
        <v>561</v>
      </c>
      <c r="I259" t="s">
        <v>1324</v>
      </c>
      <c r="L259" t="s">
        <v>819</v>
      </c>
      <c r="M259" t="s">
        <v>564</v>
      </c>
      <c r="N259" t="s">
        <v>573</v>
      </c>
      <c r="O259" t="s">
        <v>972</v>
      </c>
      <c r="P259" t="s">
        <v>854</v>
      </c>
      <c r="Q259" t="s">
        <v>568</v>
      </c>
      <c r="R259" t="s">
        <v>568</v>
      </c>
      <c r="S259" t="s">
        <v>569</v>
      </c>
      <c r="T259" t="s">
        <v>1325</v>
      </c>
      <c r="U259" t="s">
        <v>777</v>
      </c>
      <c r="V259" t="s">
        <v>1326</v>
      </c>
      <c r="W259" t="s">
        <v>565</v>
      </c>
      <c r="X259" t="s">
        <v>564</v>
      </c>
      <c r="Y259" t="s">
        <v>574</v>
      </c>
      <c r="Z259" t="s">
        <v>574</v>
      </c>
      <c r="AA259" t="s">
        <v>565</v>
      </c>
      <c r="AB259" t="s">
        <v>955</v>
      </c>
      <c r="AC259" t="s">
        <v>596</v>
      </c>
      <c r="AD259" t="s">
        <v>589</v>
      </c>
      <c r="AE259" t="s">
        <v>694</v>
      </c>
      <c r="AF259" t="str">
        <f>IF(AND(HOUR(O259)&gt;=1,HOUR(O259)&lt;=13),VLOOKUP(B259,Programacion!$A$8:$S$1048576,16,FALSE),VLOOKUP(B259,Programacion!$A$8:$S$1048576,18,FALSE))</f>
        <v xml:space="preserve">  2128</v>
      </c>
      <c r="AG259" t="str">
        <f>IF(AND(HOUR(O259)&gt;=1,HOUR(O259)&lt;=13),VLOOKUP(B259,Programacion!$A$8:$S$1048576,17,FALSE),VLOOKUP(B259,Programacion!$A$8:$S$1048576,19,FALSE))</f>
        <v>GB01</v>
      </c>
    </row>
    <row r="260" spans="1:33" x14ac:dyDescent="0.25">
      <c r="A260" s="33" t="s">
        <v>43</v>
      </c>
      <c r="B260" t="s">
        <v>494</v>
      </c>
      <c r="C260" t="s">
        <v>1316</v>
      </c>
      <c r="D260" t="s">
        <v>557</v>
      </c>
      <c r="E260" t="s">
        <v>558</v>
      </c>
      <c r="F260" t="s">
        <v>1327</v>
      </c>
      <c r="G260" t="s">
        <v>560</v>
      </c>
      <c r="H260" t="s">
        <v>561</v>
      </c>
      <c r="I260" t="s">
        <v>1328</v>
      </c>
      <c r="L260" t="s">
        <v>603</v>
      </c>
      <c r="M260" t="s">
        <v>564</v>
      </c>
      <c r="N260" t="s">
        <v>565</v>
      </c>
      <c r="O260" t="s">
        <v>675</v>
      </c>
      <c r="P260" t="s">
        <v>1329</v>
      </c>
      <c r="Q260" t="s">
        <v>568</v>
      </c>
      <c r="R260" t="s">
        <v>568</v>
      </c>
      <c r="S260" t="s">
        <v>569</v>
      </c>
      <c r="T260" t="s">
        <v>1330</v>
      </c>
      <c r="U260" t="s">
        <v>1293</v>
      </c>
      <c r="V260" t="s">
        <v>1331</v>
      </c>
      <c r="W260" t="s">
        <v>1332</v>
      </c>
      <c r="X260" t="s">
        <v>564</v>
      </c>
      <c r="Y260" t="s">
        <v>574</v>
      </c>
      <c r="Z260" t="s">
        <v>574</v>
      </c>
      <c r="AA260" t="s">
        <v>565</v>
      </c>
      <c r="AB260" t="s">
        <v>862</v>
      </c>
      <c r="AC260" t="s">
        <v>576</v>
      </c>
      <c r="AD260" t="s">
        <v>656</v>
      </c>
      <c r="AE260" t="s">
        <v>1333</v>
      </c>
      <c r="AF260" t="str">
        <f>IF(AND(HOUR(O260)&gt;=1,HOUR(O260)&lt;=13),VLOOKUP(B260,Programacion!$A$8:$S$1048576,16,FALSE),VLOOKUP(B260,Programacion!$A$8:$S$1048576,18,FALSE))</f>
        <v xml:space="preserve">  2320</v>
      </c>
      <c r="AG260" t="str">
        <f>IF(AND(HOUR(O260)&gt;=1,HOUR(O260)&lt;=13),VLOOKUP(B260,Programacion!$A$8:$S$1048576,17,FALSE),VLOOKUP(B260,Programacion!$A$8:$S$1048576,19,FALSE))</f>
        <v>GB01</v>
      </c>
    </row>
    <row r="261" spans="1:33" x14ac:dyDescent="0.25">
      <c r="A261" s="33" t="s">
        <v>43</v>
      </c>
      <c r="B261" t="s">
        <v>494</v>
      </c>
      <c r="C261" t="s">
        <v>1316</v>
      </c>
      <c r="D261" t="s">
        <v>557</v>
      </c>
      <c r="E261" t="s">
        <v>558</v>
      </c>
      <c r="F261" t="s">
        <v>1327</v>
      </c>
      <c r="G261" t="s">
        <v>560</v>
      </c>
      <c r="H261" t="s">
        <v>561</v>
      </c>
      <c r="I261" t="s">
        <v>1328</v>
      </c>
      <c r="L261" t="s">
        <v>603</v>
      </c>
      <c r="M261" t="s">
        <v>564</v>
      </c>
      <c r="N261" t="s">
        <v>565</v>
      </c>
      <c r="O261" t="s">
        <v>675</v>
      </c>
      <c r="P261" t="s">
        <v>1329</v>
      </c>
      <c r="Q261" t="s">
        <v>568</v>
      </c>
      <c r="R261" t="s">
        <v>568</v>
      </c>
      <c r="S261" t="s">
        <v>569</v>
      </c>
      <c r="T261" t="s">
        <v>1330</v>
      </c>
      <c r="U261" t="s">
        <v>1293</v>
      </c>
      <c r="V261" t="s">
        <v>1331</v>
      </c>
      <c r="W261" t="s">
        <v>1332</v>
      </c>
      <c r="X261" t="s">
        <v>564</v>
      </c>
      <c r="Y261" t="s">
        <v>574</v>
      </c>
      <c r="Z261" t="s">
        <v>574</v>
      </c>
      <c r="AA261" t="s">
        <v>565</v>
      </c>
      <c r="AB261" t="s">
        <v>862</v>
      </c>
      <c r="AC261" t="s">
        <v>588</v>
      </c>
      <c r="AD261" t="s">
        <v>599</v>
      </c>
      <c r="AE261" t="s">
        <v>600</v>
      </c>
      <c r="AF261" t="str">
        <f>IF(AND(HOUR(O261)&gt;=1,HOUR(O261)&lt;=13),VLOOKUP(B261,Programacion!$A$8:$S$1048576,16,FALSE),VLOOKUP(B261,Programacion!$A$8:$S$1048576,18,FALSE))</f>
        <v xml:space="preserve">  2320</v>
      </c>
      <c r="AG261" t="str">
        <f>IF(AND(HOUR(O261)&gt;=1,HOUR(O261)&lt;=13),VLOOKUP(B261,Programacion!$A$8:$S$1048576,17,FALSE),VLOOKUP(B261,Programacion!$A$8:$S$1048576,19,FALSE))</f>
        <v>GB01</v>
      </c>
    </row>
    <row r="262" spans="1:33" x14ac:dyDescent="0.25">
      <c r="A262" s="33" t="s">
        <v>43</v>
      </c>
      <c r="B262" t="s">
        <v>494</v>
      </c>
      <c r="C262" t="s">
        <v>1316</v>
      </c>
      <c r="D262" t="s">
        <v>557</v>
      </c>
      <c r="E262" t="s">
        <v>558</v>
      </c>
      <c r="F262" t="s">
        <v>1327</v>
      </c>
      <c r="G262" t="s">
        <v>560</v>
      </c>
      <c r="H262" t="s">
        <v>561</v>
      </c>
      <c r="I262" t="s">
        <v>1328</v>
      </c>
      <c r="L262" t="s">
        <v>603</v>
      </c>
      <c r="M262" t="s">
        <v>564</v>
      </c>
      <c r="N262" t="s">
        <v>565</v>
      </c>
      <c r="O262" t="s">
        <v>675</v>
      </c>
      <c r="P262" t="s">
        <v>1329</v>
      </c>
      <c r="Q262" t="s">
        <v>568</v>
      </c>
      <c r="R262" t="s">
        <v>568</v>
      </c>
      <c r="S262" t="s">
        <v>569</v>
      </c>
      <c r="T262" t="s">
        <v>1330</v>
      </c>
      <c r="U262" t="s">
        <v>1293</v>
      </c>
      <c r="V262" t="s">
        <v>1331</v>
      </c>
      <c r="W262" t="s">
        <v>1332</v>
      </c>
      <c r="X262" t="s">
        <v>564</v>
      </c>
      <c r="Y262" t="s">
        <v>574</v>
      </c>
      <c r="Z262" t="s">
        <v>574</v>
      </c>
      <c r="AA262" t="s">
        <v>565</v>
      </c>
      <c r="AB262" t="s">
        <v>862</v>
      </c>
      <c r="AC262" t="s">
        <v>596</v>
      </c>
      <c r="AD262" t="s">
        <v>599</v>
      </c>
      <c r="AE262" t="s">
        <v>651</v>
      </c>
      <c r="AF262" t="str">
        <f>IF(AND(HOUR(O262)&gt;=1,HOUR(O262)&lt;=13),VLOOKUP(B262,Programacion!$A$8:$S$1048576,16,FALSE),VLOOKUP(B262,Programacion!$A$8:$S$1048576,18,FALSE))</f>
        <v xml:space="preserve">  2320</v>
      </c>
      <c r="AG262" t="str">
        <f>IF(AND(HOUR(O262)&gt;=1,HOUR(O262)&lt;=13),VLOOKUP(B262,Programacion!$A$8:$S$1048576,17,FALSE),VLOOKUP(B262,Programacion!$A$8:$S$1048576,19,FALSE))</f>
        <v>GB01</v>
      </c>
    </row>
    <row r="263" spans="1:33" x14ac:dyDescent="0.25">
      <c r="A263" s="33" t="s">
        <v>43</v>
      </c>
      <c r="B263" t="s">
        <v>494</v>
      </c>
      <c r="C263" t="s">
        <v>1316</v>
      </c>
      <c r="D263" t="s">
        <v>557</v>
      </c>
      <c r="E263" t="s">
        <v>558</v>
      </c>
      <c r="F263" t="s">
        <v>1334</v>
      </c>
      <c r="G263" t="s">
        <v>560</v>
      </c>
      <c r="H263" t="s">
        <v>561</v>
      </c>
      <c r="I263" t="s">
        <v>1335</v>
      </c>
      <c r="L263" t="s">
        <v>901</v>
      </c>
      <c r="M263" t="s">
        <v>564</v>
      </c>
      <c r="N263" t="s">
        <v>573</v>
      </c>
      <c r="O263" t="s">
        <v>1080</v>
      </c>
      <c r="P263" t="s">
        <v>605</v>
      </c>
      <c r="Q263" t="s">
        <v>568</v>
      </c>
      <c r="R263" t="s">
        <v>568</v>
      </c>
      <c r="S263" t="s">
        <v>569</v>
      </c>
      <c r="T263" t="s">
        <v>628</v>
      </c>
      <c r="U263" t="s">
        <v>1336</v>
      </c>
      <c r="V263" t="s">
        <v>1337</v>
      </c>
      <c r="W263" t="s">
        <v>586</v>
      </c>
      <c r="X263" t="s">
        <v>564</v>
      </c>
      <c r="Y263" t="s">
        <v>574</v>
      </c>
      <c r="Z263" t="s">
        <v>574</v>
      </c>
      <c r="AA263" t="s">
        <v>565</v>
      </c>
      <c r="AB263" t="s">
        <v>1338</v>
      </c>
      <c r="AC263" t="s">
        <v>588</v>
      </c>
      <c r="AD263" t="s">
        <v>589</v>
      </c>
      <c r="AE263" t="s">
        <v>671</v>
      </c>
      <c r="AF263" t="str">
        <f>IF(AND(HOUR(O263)&gt;=1,HOUR(O263)&lt;=13),VLOOKUP(B263,Programacion!$A$8:$S$1048576,16,FALSE),VLOOKUP(B263,Programacion!$A$8:$S$1048576,18,FALSE))</f>
        <v xml:space="preserve">  2320</v>
      </c>
      <c r="AG263" t="str">
        <f>IF(AND(HOUR(O263)&gt;=1,HOUR(O263)&lt;=13),VLOOKUP(B263,Programacion!$A$8:$S$1048576,17,FALSE),VLOOKUP(B263,Programacion!$A$8:$S$1048576,19,FALSE))</f>
        <v>GB01</v>
      </c>
    </row>
    <row r="264" spans="1:33" x14ac:dyDescent="0.25">
      <c r="A264" s="33" t="s">
        <v>43</v>
      </c>
      <c r="B264" t="s">
        <v>494</v>
      </c>
      <c r="C264" t="s">
        <v>1316</v>
      </c>
      <c r="D264" t="s">
        <v>557</v>
      </c>
      <c r="E264" t="s">
        <v>558</v>
      </c>
      <c r="F264" t="s">
        <v>1334</v>
      </c>
      <c r="G264" t="s">
        <v>560</v>
      </c>
      <c r="H264" t="s">
        <v>561</v>
      </c>
      <c r="I264" t="s">
        <v>1335</v>
      </c>
      <c r="L264" t="s">
        <v>901</v>
      </c>
      <c r="M264" t="s">
        <v>564</v>
      </c>
      <c r="N264" t="s">
        <v>573</v>
      </c>
      <c r="O264" t="s">
        <v>1080</v>
      </c>
      <c r="P264" t="s">
        <v>605</v>
      </c>
      <c r="Q264" t="s">
        <v>568</v>
      </c>
      <c r="R264" t="s">
        <v>568</v>
      </c>
      <c r="S264" t="s">
        <v>569</v>
      </c>
      <c r="T264" t="s">
        <v>628</v>
      </c>
      <c r="U264" t="s">
        <v>1336</v>
      </c>
      <c r="V264" t="s">
        <v>1337</v>
      </c>
      <c r="W264" t="s">
        <v>586</v>
      </c>
      <c r="X264" t="s">
        <v>564</v>
      </c>
      <c r="Y264" t="s">
        <v>574</v>
      </c>
      <c r="Z264" t="s">
        <v>574</v>
      </c>
      <c r="AA264" t="s">
        <v>565</v>
      </c>
      <c r="AB264" t="s">
        <v>1338</v>
      </c>
      <c r="AC264" t="s">
        <v>596</v>
      </c>
      <c r="AD264" t="s">
        <v>589</v>
      </c>
      <c r="AE264" t="s">
        <v>1339</v>
      </c>
      <c r="AF264" t="str">
        <f>IF(AND(HOUR(O264)&gt;=1,HOUR(O264)&lt;=13),VLOOKUP(B264,Programacion!$A$8:$S$1048576,16,FALSE),VLOOKUP(B264,Programacion!$A$8:$S$1048576,18,FALSE))</f>
        <v xml:space="preserve">  2320</v>
      </c>
      <c r="AG264" t="str">
        <f>IF(AND(HOUR(O264)&gt;=1,HOUR(O264)&lt;=13),VLOOKUP(B264,Programacion!$A$8:$S$1048576,17,FALSE),VLOOKUP(B264,Programacion!$A$8:$S$1048576,19,FALSE))</f>
        <v>GB01</v>
      </c>
    </row>
    <row r="265" spans="1:33" x14ac:dyDescent="0.25">
      <c r="A265" s="33" t="s">
        <v>43</v>
      </c>
      <c r="B265" t="s">
        <v>494</v>
      </c>
      <c r="C265" t="s">
        <v>1316</v>
      </c>
      <c r="D265" t="s">
        <v>557</v>
      </c>
      <c r="E265" t="s">
        <v>558</v>
      </c>
      <c r="F265" t="s">
        <v>1334</v>
      </c>
      <c r="G265" t="s">
        <v>560</v>
      </c>
      <c r="H265" t="s">
        <v>561</v>
      </c>
      <c r="I265" t="s">
        <v>1335</v>
      </c>
      <c r="L265" t="s">
        <v>901</v>
      </c>
      <c r="M265" t="s">
        <v>564</v>
      </c>
      <c r="N265" t="s">
        <v>573</v>
      </c>
      <c r="O265" t="s">
        <v>1080</v>
      </c>
      <c r="P265" t="s">
        <v>605</v>
      </c>
      <c r="Q265" t="s">
        <v>568</v>
      </c>
      <c r="R265" t="s">
        <v>568</v>
      </c>
      <c r="S265" t="s">
        <v>569</v>
      </c>
      <c r="T265" t="s">
        <v>628</v>
      </c>
      <c r="U265" t="s">
        <v>1336</v>
      </c>
      <c r="V265" t="s">
        <v>1337</v>
      </c>
      <c r="W265" t="s">
        <v>586</v>
      </c>
      <c r="X265" t="s">
        <v>564</v>
      </c>
      <c r="Y265" t="s">
        <v>574</v>
      </c>
      <c r="Z265" t="s">
        <v>574</v>
      </c>
      <c r="AA265" t="s">
        <v>565</v>
      </c>
      <c r="AB265" t="s">
        <v>1338</v>
      </c>
      <c r="AC265" t="s">
        <v>576</v>
      </c>
      <c r="AD265" t="s">
        <v>599</v>
      </c>
      <c r="AE265" t="s">
        <v>651</v>
      </c>
      <c r="AF265" t="str">
        <f>IF(AND(HOUR(O265)&gt;=1,HOUR(O265)&lt;=13),VLOOKUP(B265,Programacion!$A$8:$S$1048576,16,FALSE),VLOOKUP(B265,Programacion!$A$8:$S$1048576,18,FALSE))</f>
        <v xml:space="preserve">  2320</v>
      </c>
      <c r="AG265" t="str">
        <f>IF(AND(HOUR(O265)&gt;=1,HOUR(O265)&lt;=13),VLOOKUP(B265,Programacion!$A$8:$S$1048576,17,FALSE),VLOOKUP(B265,Programacion!$A$8:$S$1048576,19,FALSE))</f>
        <v>GB01</v>
      </c>
    </row>
    <row r="266" spans="1:33" x14ac:dyDescent="0.25">
      <c r="A266" s="33" t="s">
        <v>1340</v>
      </c>
      <c r="B266" t="s">
        <v>489</v>
      </c>
      <c r="C266" t="s">
        <v>41</v>
      </c>
      <c r="D266" t="s">
        <v>557</v>
      </c>
      <c r="E266" t="s">
        <v>558</v>
      </c>
      <c r="F266" t="s">
        <v>1341</v>
      </c>
      <c r="G266" t="s">
        <v>560</v>
      </c>
      <c r="H266" t="s">
        <v>561</v>
      </c>
      <c r="I266" t="s">
        <v>1342</v>
      </c>
      <c r="L266" t="s">
        <v>563</v>
      </c>
      <c r="M266" t="s">
        <v>564</v>
      </c>
      <c r="N266" t="s">
        <v>573</v>
      </c>
      <c r="O266" t="s">
        <v>627</v>
      </c>
      <c r="P266" t="s">
        <v>703</v>
      </c>
      <c r="Q266" t="s">
        <v>568</v>
      </c>
      <c r="R266" t="s">
        <v>568</v>
      </c>
      <c r="S266" t="s">
        <v>569</v>
      </c>
      <c r="T266" t="s">
        <v>1343</v>
      </c>
      <c r="U266" t="s">
        <v>988</v>
      </c>
      <c r="V266" t="s">
        <v>1344</v>
      </c>
      <c r="W266" t="s">
        <v>586</v>
      </c>
      <c r="X266" t="s">
        <v>564</v>
      </c>
      <c r="Y266" t="s">
        <v>574</v>
      </c>
      <c r="Z266" t="s">
        <v>574</v>
      </c>
      <c r="AA266" t="s">
        <v>565</v>
      </c>
      <c r="AB266" t="s">
        <v>990</v>
      </c>
      <c r="AC266" t="s">
        <v>598</v>
      </c>
      <c r="AD266" t="s">
        <v>599</v>
      </c>
      <c r="AE266" t="s">
        <v>600</v>
      </c>
      <c r="AF266" t="str">
        <f>IF(AND(HOUR(O266)&gt;=1,HOUR(O266)&lt;=13),VLOOKUP(B266,Programacion!$A$8:$S$1048576,16,FALSE),VLOOKUP(B266,Programacion!$A$8:$S$1048576,18,FALSE))</f>
        <v xml:space="preserve">  2107</v>
      </c>
      <c r="AG266" t="str">
        <f>IF(AND(HOUR(O266)&gt;=1,HOUR(O266)&lt;=13),VLOOKUP(B266,Programacion!$A$8:$S$1048576,17,FALSE),VLOOKUP(B266,Programacion!$A$8:$S$1048576,19,FALSE))</f>
        <v>GB01</v>
      </c>
    </row>
    <row r="267" spans="1:33" x14ac:dyDescent="0.25">
      <c r="A267" s="33" t="s">
        <v>1340</v>
      </c>
      <c r="B267" t="s">
        <v>489</v>
      </c>
      <c r="C267" t="s">
        <v>41</v>
      </c>
      <c r="D267" t="s">
        <v>557</v>
      </c>
      <c r="E267" t="s">
        <v>558</v>
      </c>
      <c r="F267" t="s">
        <v>1341</v>
      </c>
      <c r="G267" t="s">
        <v>560</v>
      </c>
      <c r="H267" t="s">
        <v>561</v>
      </c>
      <c r="I267" t="s">
        <v>1342</v>
      </c>
      <c r="L267" t="s">
        <v>563</v>
      </c>
      <c r="M267" t="s">
        <v>564</v>
      </c>
      <c r="N267" t="s">
        <v>573</v>
      </c>
      <c r="O267" t="s">
        <v>627</v>
      </c>
      <c r="P267" t="s">
        <v>703</v>
      </c>
      <c r="Q267" t="s">
        <v>568</v>
      </c>
      <c r="R267" t="s">
        <v>568</v>
      </c>
      <c r="S267" t="s">
        <v>569</v>
      </c>
      <c r="T267" t="s">
        <v>1343</v>
      </c>
      <c r="U267" t="s">
        <v>988</v>
      </c>
      <c r="V267" t="s">
        <v>1344</v>
      </c>
      <c r="W267" t="s">
        <v>586</v>
      </c>
      <c r="X267" t="s">
        <v>564</v>
      </c>
      <c r="Y267" t="s">
        <v>574</v>
      </c>
      <c r="Z267" t="s">
        <v>574</v>
      </c>
      <c r="AA267" t="s">
        <v>565</v>
      </c>
      <c r="AB267" t="s">
        <v>990</v>
      </c>
      <c r="AC267" t="s">
        <v>596</v>
      </c>
      <c r="AD267" t="s">
        <v>599</v>
      </c>
      <c r="AE267" t="s">
        <v>647</v>
      </c>
      <c r="AF267" t="str">
        <f>IF(AND(HOUR(O267)&gt;=1,HOUR(O267)&lt;=13),VLOOKUP(B267,Programacion!$A$8:$S$1048576,16,FALSE),VLOOKUP(B267,Programacion!$A$8:$S$1048576,18,FALSE))</f>
        <v xml:space="preserve">  2107</v>
      </c>
      <c r="AG267" t="str">
        <f>IF(AND(HOUR(O267)&gt;=1,HOUR(O267)&lt;=13),VLOOKUP(B267,Programacion!$A$8:$S$1048576,17,FALSE),VLOOKUP(B267,Programacion!$A$8:$S$1048576,19,FALSE))</f>
        <v>GB01</v>
      </c>
    </row>
    <row r="268" spans="1:33" x14ac:dyDescent="0.25">
      <c r="A268" s="33" t="s">
        <v>1340</v>
      </c>
      <c r="B268" t="s">
        <v>489</v>
      </c>
      <c r="C268" t="s">
        <v>41</v>
      </c>
      <c r="D268" t="s">
        <v>557</v>
      </c>
      <c r="E268" t="s">
        <v>558</v>
      </c>
      <c r="F268" t="s">
        <v>1341</v>
      </c>
      <c r="G268" t="s">
        <v>560</v>
      </c>
      <c r="H268" t="s">
        <v>561</v>
      </c>
      <c r="I268" t="s">
        <v>1342</v>
      </c>
      <c r="L268" t="s">
        <v>563</v>
      </c>
      <c r="M268" t="s">
        <v>564</v>
      </c>
      <c r="N268" t="s">
        <v>573</v>
      </c>
      <c r="O268" t="s">
        <v>627</v>
      </c>
      <c r="P268" t="s">
        <v>703</v>
      </c>
      <c r="Q268" t="s">
        <v>568</v>
      </c>
      <c r="R268" t="s">
        <v>568</v>
      </c>
      <c r="S268" t="s">
        <v>569</v>
      </c>
      <c r="T268" t="s">
        <v>1345</v>
      </c>
      <c r="U268" t="s">
        <v>767</v>
      </c>
      <c r="V268" t="s">
        <v>1346</v>
      </c>
      <c r="W268" t="s">
        <v>594</v>
      </c>
      <c r="X268" t="s">
        <v>564</v>
      </c>
      <c r="Y268" t="s">
        <v>574</v>
      </c>
      <c r="Z268" t="s">
        <v>574</v>
      </c>
      <c r="AA268" t="s">
        <v>565</v>
      </c>
      <c r="AB268" t="s">
        <v>769</v>
      </c>
      <c r="AC268" t="s">
        <v>596</v>
      </c>
      <c r="AD268" t="s">
        <v>589</v>
      </c>
      <c r="AE268" t="s">
        <v>1114</v>
      </c>
      <c r="AF268" t="str">
        <f>IF(AND(HOUR(O268)&gt;=1,HOUR(O268)&lt;=13),VLOOKUP(B268,Programacion!$A$8:$S$1048576,16,FALSE),VLOOKUP(B268,Programacion!$A$8:$S$1048576,18,FALSE))</f>
        <v xml:space="preserve">  2107</v>
      </c>
      <c r="AG268" t="str">
        <f>IF(AND(HOUR(O268)&gt;=1,HOUR(O268)&lt;=13),VLOOKUP(B268,Programacion!$A$8:$S$1048576,17,FALSE),VLOOKUP(B268,Programacion!$A$8:$S$1048576,19,FALSE))</f>
        <v>GB01</v>
      </c>
    </row>
    <row r="269" spans="1:33" x14ac:dyDescent="0.25">
      <c r="A269" s="33" t="s">
        <v>1340</v>
      </c>
      <c r="B269" t="s">
        <v>489</v>
      </c>
      <c r="C269" t="s">
        <v>41</v>
      </c>
      <c r="D269" t="s">
        <v>557</v>
      </c>
      <c r="E269" t="s">
        <v>558</v>
      </c>
      <c r="F269" t="s">
        <v>1341</v>
      </c>
      <c r="G269" t="s">
        <v>560</v>
      </c>
      <c r="H269" t="s">
        <v>561</v>
      </c>
      <c r="I269" t="s">
        <v>1342</v>
      </c>
      <c r="L269" t="s">
        <v>563</v>
      </c>
      <c r="M269" t="s">
        <v>564</v>
      </c>
      <c r="N269" t="s">
        <v>573</v>
      </c>
      <c r="O269" t="s">
        <v>627</v>
      </c>
      <c r="P269" t="s">
        <v>703</v>
      </c>
      <c r="Q269" t="s">
        <v>568</v>
      </c>
      <c r="R269" t="s">
        <v>568</v>
      </c>
      <c r="S269" t="s">
        <v>569</v>
      </c>
      <c r="T269" t="s">
        <v>1345</v>
      </c>
      <c r="U269" t="s">
        <v>767</v>
      </c>
      <c r="V269" t="s">
        <v>1346</v>
      </c>
      <c r="W269" t="s">
        <v>594</v>
      </c>
      <c r="X269" t="s">
        <v>564</v>
      </c>
      <c r="Y269" t="s">
        <v>574</v>
      </c>
      <c r="Z269" t="s">
        <v>574</v>
      </c>
      <c r="AA269" t="s">
        <v>565</v>
      </c>
      <c r="AB269" t="s">
        <v>769</v>
      </c>
      <c r="AC269" t="s">
        <v>598</v>
      </c>
      <c r="AD269" t="s">
        <v>599</v>
      </c>
      <c r="AE269" t="s">
        <v>618</v>
      </c>
      <c r="AF269" t="str">
        <f>IF(AND(HOUR(O269)&gt;=1,HOUR(O269)&lt;=13),VLOOKUP(B269,Programacion!$A$8:$S$1048576,16,FALSE),VLOOKUP(B269,Programacion!$A$8:$S$1048576,18,FALSE))</f>
        <v xml:space="preserve">  2107</v>
      </c>
      <c r="AG269" t="str">
        <f>IF(AND(HOUR(O269)&gt;=1,HOUR(O269)&lt;=13),VLOOKUP(B269,Programacion!$A$8:$S$1048576,17,FALSE),VLOOKUP(B269,Programacion!$A$8:$S$1048576,19,FALSE))</f>
        <v>GB01</v>
      </c>
    </row>
    <row r="270" spans="1:33" x14ac:dyDescent="0.25">
      <c r="A270" s="33" t="s">
        <v>1340</v>
      </c>
      <c r="B270" t="s">
        <v>489</v>
      </c>
      <c r="C270" t="s">
        <v>41</v>
      </c>
      <c r="D270" t="s">
        <v>557</v>
      </c>
      <c r="E270" t="s">
        <v>558</v>
      </c>
      <c r="F270" t="s">
        <v>1347</v>
      </c>
      <c r="G270" t="s">
        <v>560</v>
      </c>
      <c r="H270" t="s">
        <v>561</v>
      </c>
      <c r="I270" t="s">
        <v>1348</v>
      </c>
      <c r="L270" t="s">
        <v>641</v>
      </c>
      <c r="M270" t="s">
        <v>564</v>
      </c>
      <c r="N270" t="s">
        <v>573</v>
      </c>
      <c r="O270" t="s">
        <v>942</v>
      </c>
      <c r="P270" t="s">
        <v>642</v>
      </c>
      <c r="Q270" t="s">
        <v>568</v>
      </c>
      <c r="R270" t="s">
        <v>568</v>
      </c>
      <c r="S270" t="s">
        <v>569</v>
      </c>
      <c r="T270" t="s">
        <v>1349</v>
      </c>
      <c r="U270" t="s">
        <v>718</v>
      </c>
      <c r="V270" t="s">
        <v>1350</v>
      </c>
      <c r="W270" t="s">
        <v>645</v>
      </c>
      <c r="X270" t="s">
        <v>564</v>
      </c>
      <c r="Y270" t="s">
        <v>574</v>
      </c>
      <c r="Z270" t="s">
        <v>574</v>
      </c>
      <c r="AA270" t="s">
        <v>565</v>
      </c>
      <c r="AB270" t="s">
        <v>822</v>
      </c>
      <c r="AC270" t="s">
        <v>596</v>
      </c>
      <c r="AD270" t="s">
        <v>599</v>
      </c>
      <c r="AE270" t="s">
        <v>651</v>
      </c>
      <c r="AF270" t="str">
        <f>IF(AND(HOUR(O270)&gt;=1,HOUR(O270)&lt;=13),VLOOKUP(B270,Programacion!$A$8:$S$1048576,16,FALSE),VLOOKUP(B270,Programacion!$A$8:$S$1048576,18,FALSE))</f>
        <v xml:space="preserve">  2107</v>
      </c>
      <c r="AG270" t="str">
        <f>IF(AND(HOUR(O270)&gt;=1,HOUR(O270)&lt;=13),VLOOKUP(B270,Programacion!$A$8:$S$1048576,17,FALSE),VLOOKUP(B270,Programacion!$A$8:$S$1048576,19,FALSE))</f>
        <v>GB01</v>
      </c>
    </row>
    <row r="271" spans="1:33" x14ac:dyDescent="0.25">
      <c r="A271" s="33" t="s">
        <v>1340</v>
      </c>
      <c r="B271" t="s">
        <v>489</v>
      </c>
      <c r="C271" t="s">
        <v>41</v>
      </c>
      <c r="D271" t="s">
        <v>557</v>
      </c>
      <c r="E271" t="s">
        <v>558</v>
      </c>
      <c r="F271" t="s">
        <v>1347</v>
      </c>
      <c r="G271" t="s">
        <v>560</v>
      </c>
      <c r="H271" t="s">
        <v>561</v>
      </c>
      <c r="I271" t="s">
        <v>1348</v>
      </c>
      <c r="L271" t="s">
        <v>641</v>
      </c>
      <c r="M271" t="s">
        <v>564</v>
      </c>
      <c r="N271" t="s">
        <v>573</v>
      </c>
      <c r="O271" t="s">
        <v>942</v>
      </c>
      <c r="P271" t="s">
        <v>642</v>
      </c>
      <c r="Q271" t="s">
        <v>568</v>
      </c>
      <c r="R271" t="s">
        <v>568</v>
      </c>
      <c r="S271" t="s">
        <v>569</v>
      </c>
      <c r="T271" t="s">
        <v>1349</v>
      </c>
      <c r="U271" t="s">
        <v>718</v>
      </c>
      <c r="V271" t="s">
        <v>1350</v>
      </c>
      <c r="W271" t="s">
        <v>645</v>
      </c>
      <c r="X271" t="s">
        <v>564</v>
      </c>
      <c r="Y271" t="s">
        <v>574</v>
      </c>
      <c r="Z271" t="s">
        <v>574</v>
      </c>
      <c r="AA271" t="s">
        <v>565</v>
      </c>
      <c r="AB271" t="s">
        <v>822</v>
      </c>
      <c r="AC271" t="s">
        <v>588</v>
      </c>
      <c r="AD271" t="s">
        <v>599</v>
      </c>
      <c r="AE271" t="s">
        <v>618</v>
      </c>
      <c r="AF271" t="str">
        <f>IF(AND(HOUR(O271)&gt;=1,HOUR(O271)&lt;=13),VLOOKUP(B271,Programacion!$A$8:$S$1048576,16,FALSE),VLOOKUP(B271,Programacion!$A$8:$S$1048576,18,FALSE))</f>
        <v xml:space="preserve">  2107</v>
      </c>
      <c r="AG271" t="str">
        <f>IF(AND(HOUR(O271)&gt;=1,HOUR(O271)&lt;=13),VLOOKUP(B271,Programacion!$A$8:$S$1048576,17,FALSE),VLOOKUP(B271,Programacion!$A$8:$S$1048576,19,FALSE))</f>
        <v>GB01</v>
      </c>
    </row>
    <row r="272" spans="1:33" x14ac:dyDescent="0.25">
      <c r="A272" s="33" t="s">
        <v>1340</v>
      </c>
      <c r="B272" t="s">
        <v>489</v>
      </c>
      <c r="C272" t="s">
        <v>41</v>
      </c>
      <c r="D272" t="s">
        <v>557</v>
      </c>
      <c r="E272" t="s">
        <v>558</v>
      </c>
      <c r="F272" t="s">
        <v>1347</v>
      </c>
      <c r="G272" t="s">
        <v>560</v>
      </c>
      <c r="H272" t="s">
        <v>561</v>
      </c>
      <c r="I272" t="s">
        <v>1348</v>
      </c>
      <c r="L272" t="s">
        <v>641</v>
      </c>
      <c r="M272" t="s">
        <v>564</v>
      </c>
      <c r="N272" t="s">
        <v>573</v>
      </c>
      <c r="O272" t="s">
        <v>942</v>
      </c>
      <c r="P272" t="s">
        <v>642</v>
      </c>
      <c r="Q272" t="s">
        <v>568</v>
      </c>
      <c r="R272" t="s">
        <v>568</v>
      </c>
      <c r="S272" t="s">
        <v>569</v>
      </c>
      <c r="T272" t="s">
        <v>1349</v>
      </c>
      <c r="U272" t="s">
        <v>718</v>
      </c>
      <c r="V272" t="s">
        <v>1350</v>
      </c>
      <c r="W272" t="s">
        <v>645</v>
      </c>
      <c r="X272" t="s">
        <v>564</v>
      </c>
      <c r="Y272" t="s">
        <v>574</v>
      </c>
      <c r="Z272" t="s">
        <v>574</v>
      </c>
      <c r="AA272" t="s">
        <v>565</v>
      </c>
      <c r="AB272" t="s">
        <v>822</v>
      </c>
      <c r="AC272" t="s">
        <v>576</v>
      </c>
      <c r="AD272" t="s">
        <v>589</v>
      </c>
      <c r="AE272" t="s">
        <v>997</v>
      </c>
      <c r="AF272" t="str">
        <f>IF(AND(HOUR(O272)&gt;=1,HOUR(O272)&lt;=13),VLOOKUP(B272,Programacion!$A$8:$S$1048576,16,FALSE),VLOOKUP(B272,Programacion!$A$8:$S$1048576,18,FALSE))</f>
        <v xml:space="preserve">  2107</v>
      </c>
      <c r="AG272" t="str">
        <f>IF(AND(HOUR(O272)&gt;=1,HOUR(O272)&lt;=13),VLOOKUP(B272,Programacion!$A$8:$S$1048576,17,FALSE),VLOOKUP(B272,Programacion!$A$8:$S$1048576,19,FALSE))</f>
        <v>GB01</v>
      </c>
    </row>
    <row r="273" spans="1:33" x14ac:dyDescent="0.25">
      <c r="A273" s="33" t="s">
        <v>1340</v>
      </c>
      <c r="B273" t="s">
        <v>489</v>
      </c>
      <c r="C273" t="s">
        <v>41</v>
      </c>
      <c r="D273" t="s">
        <v>557</v>
      </c>
      <c r="E273" t="s">
        <v>558</v>
      </c>
      <c r="F273" t="s">
        <v>1347</v>
      </c>
      <c r="G273" t="s">
        <v>560</v>
      </c>
      <c r="H273" t="s">
        <v>561</v>
      </c>
      <c r="I273" t="s">
        <v>1348</v>
      </c>
      <c r="L273" t="s">
        <v>641</v>
      </c>
      <c r="M273" t="s">
        <v>564</v>
      </c>
      <c r="N273" t="s">
        <v>573</v>
      </c>
      <c r="O273" t="s">
        <v>942</v>
      </c>
      <c r="P273" t="s">
        <v>642</v>
      </c>
      <c r="Q273" t="s">
        <v>568</v>
      </c>
      <c r="R273" t="s">
        <v>568</v>
      </c>
      <c r="S273" t="s">
        <v>569</v>
      </c>
      <c r="T273" t="s">
        <v>1349</v>
      </c>
      <c r="U273" t="s">
        <v>718</v>
      </c>
      <c r="V273" t="s">
        <v>1350</v>
      </c>
      <c r="W273" t="s">
        <v>645</v>
      </c>
      <c r="X273" t="s">
        <v>564</v>
      </c>
      <c r="Y273" t="s">
        <v>574</v>
      </c>
      <c r="Z273" t="s">
        <v>574</v>
      </c>
      <c r="AA273" t="s">
        <v>565</v>
      </c>
      <c r="AB273" t="s">
        <v>822</v>
      </c>
      <c r="AC273" t="s">
        <v>598</v>
      </c>
      <c r="AD273" t="s">
        <v>599</v>
      </c>
      <c r="AE273" t="s">
        <v>647</v>
      </c>
      <c r="AF273" t="str">
        <f>IF(AND(HOUR(O273)&gt;=1,HOUR(O273)&lt;=13),VLOOKUP(B273,Programacion!$A$8:$S$1048576,16,FALSE),VLOOKUP(B273,Programacion!$A$8:$S$1048576,18,FALSE))</f>
        <v xml:space="preserve">  2107</v>
      </c>
      <c r="AG273" t="str">
        <f>IF(AND(HOUR(O273)&gt;=1,HOUR(O273)&lt;=13),VLOOKUP(B273,Programacion!$A$8:$S$1048576,17,FALSE),VLOOKUP(B273,Programacion!$A$8:$S$1048576,19,FALSE))</f>
        <v>GB01</v>
      </c>
    </row>
    <row r="274" spans="1:33" x14ac:dyDescent="0.25">
      <c r="A274" s="33" t="s">
        <v>1340</v>
      </c>
      <c r="B274" t="s">
        <v>489</v>
      </c>
      <c r="C274" t="s">
        <v>41</v>
      </c>
      <c r="D274" t="s">
        <v>557</v>
      </c>
      <c r="E274" t="s">
        <v>558</v>
      </c>
      <c r="F274" t="s">
        <v>1351</v>
      </c>
      <c r="G274" t="s">
        <v>560</v>
      </c>
      <c r="H274" t="s">
        <v>561</v>
      </c>
      <c r="I274" t="s">
        <v>1352</v>
      </c>
      <c r="L274" t="s">
        <v>603</v>
      </c>
      <c r="M274" t="s">
        <v>564</v>
      </c>
      <c r="N274" t="s">
        <v>573</v>
      </c>
      <c r="O274" t="s">
        <v>604</v>
      </c>
      <c r="P274" t="s">
        <v>716</v>
      </c>
      <c r="Q274" t="s">
        <v>568</v>
      </c>
      <c r="R274" t="s">
        <v>568</v>
      </c>
      <c r="S274" t="s">
        <v>569</v>
      </c>
      <c r="T274" t="s">
        <v>1353</v>
      </c>
      <c r="U274" t="s">
        <v>1070</v>
      </c>
      <c r="V274" t="s">
        <v>1354</v>
      </c>
      <c r="W274" t="s">
        <v>586</v>
      </c>
      <c r="X274" t="s">
        <v>564</v>
      </c>
      <c r="Y274" t="s">
        <v>574</v>
      </c>
      <c r="Z274" t="s">
        <v>574</v>
      </c>
      <c r="AA274" t="s">
        <v>565</v>
      </c>
      <c r="AB274" t="s">
        <v>1073</v>
      </c>
      <c r="AC274" t="s">
        <v>598</v>
      </c>
      <c r="AD274" t="s">
        <v>589</v>
      </c>
      <c r="AE274" t="s">
        <v>1114</v>
      </c>
      <c r="AF274" t="str">
        <f>IF(AND(HOUR(O274)&gt;=1,HOUR(O274)&lt;=13),VLOOKUP(B274,Programacion!$A$8:$S$1048576,16,FALSE),VLOOKUP(B274,Programacion!$A$8:$S$1048576,18,FALSE))</f>
        <v xml:space="preserve">  2260</v>
      </c>
      <c r="AG274" t="str">
        <f>IF(AND(HOUR(O274)&gt;=1,HOUR(O274)&lt;=13),VLOOKUP(B274,Programacion!$A$8:$S$1048576,17,FALSE),VLOOKUP(B274,Programacion!$A$8:$S$1048576,19,FALSE))</f>
        <v>GB01</v>
      </c>
    </row>
    <row r="275" spans="1:33" x14ac:dyDescent="0.25">
      <c r="A275" s="33" t="s">
        <v>1340</v>
      </c>
      <c r="B275" t="s">
        <v>489</v>
      </c>
      <c r="C275" t="s">
        <v>41</v>
      </c>
      <c r="D275" t="s">
        <v>557</v>
      </c>
      <c r="E275" t="s">
        <v>558</v>
      </c>
      <c r="F275" t="s">
        <v>1351</v>
      </c>
      <c r="G275" t="s">
        <v>560</v>
      </c>
      <c r="H275" t="s">
        <v>561</v>
      </c>
      <c r="I275" t="s">
        <v>1352</v>
      </c>
      <c r="L275" t="s">
        <v>603</v>
      </c>
      <c r="M275" t="s">
        <v>564</v>
      </c>
      <c r="N275" t="s">
        <v>573</v>
      </c>
      <c r="O275" t="s">
        <v>604</v>
      </c>
      <c r="P275" t="s">
        <v>716</v>
      </c>
      <c r="Q275" t="s">
        <v>568</v>
      </c>
      <c r="R275" t="s">
        <v>568</v>
      </c>
      <c r="S275" t="s">
        <v>569</v>
      </c>
      <c r="T275" t="s">
        <v>1353</v>
      </c>
      <c r="U275" t="s">
        <v>1070</v>
      </c>
      <c r="V275" t="s">
        <v>1354</v>
      </c>
      <c r="W275" t="s">
        <v>586</v>
      </c>
      <c r="X275" t="s">
        <v>564</v>
      </c>
      <c r="Y275" t="s">
        <v>574</v>
      </c>
      <c r="Z275" t="s">
        <v>574</v>
      </c>
      <c r="AA275" t="s">
        <v>565</v>
      </c>
      <c r="AB275" t="s">
        <v>1073</v>
      </c>
      <c r="AC275" t="s">
        <v>596</v>
      </c>
      <c r="AD275" t="s">
        <v>589</v>
      </c>
      <c r="AE275" t="s">
        <v>671</v>
      </c>
      <c r="AF275" t="str">
        <f>IF(AND(HOUR(O275)&gt;=1,HOUR(O275)&lt;=13),VLOOKUP(B275,Programacion!$A$8:$S$1048576,16,FALSE),VLOOKUP(B275,Programacion!$A$8:$S$1048576,18,FALSE))</f>
        <v xml:space="preserve">  2260</v>
      </c>
      <c r="AG275" t="str">
        <f>IF(AND(HOUR(O275)&gt;=1,HOUR(O275)&lt;=13),VLOOKUP(B275,Programacion!$A$8:$S$1048576,17,FALSE),VLOOKUP(B275,Programacion!$A$8:$S$1048576,19,FALSE))</f>
        <v>GB01</v>
      </c>
    </row>
    <row r="276" spans="1:33" x14ac:dyDescent="0.25">
      <c r="A276" s="33" t="s">
        <v>1340</v>
      </c>
      <c r="B276" t="s">
        <v>489</v>
      </c>
      <c r="C276" t="s">
        <v>41</v>
      </c>
      <c r="D276" t="s">
        <v>557</v>
      </c>
      <c r="E276" t="s">
        <v>558</v>
      </c>
      <c r="F276" t="s">
        <v>1351</v>
      </c>
      <c r="G276" t="s">
        <v>560</v>
      </c>
      <c r="H276" t="s">
        <v>561</v>
      </c>
      <c r="I276" t="s">
        <v>1352</v>
      </c>
      <c r="L276" t="s">
        <v>603</v>
      </c>
      <c r="M276" t="s">
        <v>564</v>
      </c>
      <c r="N276" t="s">
        <v>573</v>
      </c>
      <c r="O276" t="s">
        <v>604</v>
      </c>
      <c r="P276" t="s">
        <v>716</v>
      </c>
      <c r="Q276" t="s">
        <v>568</v>
      </c>
      <c r="R276" t="s">
        <v>568</v>
      </c>
      <c r="S276" t="s">
        <v>569</v>
      </c>
      <c r="T276" t="s">
        <v>1355</v>
      </c>
      <c r="U276" t="s">
        <v>744</v>
      </c>
      <c r="V276" t="s">
        <v>1356</v>
      </c>
      <c r="W276" t="s">
        <v>594</v>
      </c>
      <c r="X276" t="s">
        <v>564</v>
      </c>
      <c r="Y276" t="s">
        <v>574</v>
      </c>
      <c r="Z276" t="s">
        <v>574</v>
      </c>
      <c r="AA276" t="s">
        <v>565</v>
      </c>
      <c r="AB276" t="s">
        <v>863</v>
      </c>
      <c r="AC276" t="s">
        <v>576</v>
      </c>
      <c r="AD276" t="s">
        <v>599</v>
      </c>
      <c r="AE276" t="s">
        <v>647</v>
      </c>
      <c r="AF276" t="str">
        <f>IF(AND(HOUR(O276)&gt;=1,HOUR(O276)&lt;=13),VLOOKUP(B276,Programacion!$A$8:$S$1048576,16,FALSE),VLOOKUP(B276,Programacion!$A$8:$S$1048576,18,FALSE))</f>
        <v xml:space="preserve">  2260</v>
      </c>
      <c r="AG276" t="str">
        <f>IF(AND(HOUR(O276)&gt;=1,HOUR(O276)&lt;=13),VLOOKUP(B276,Programacion!$A$8:$S$1048576,17,FALSE),VLOOKUP(B276,Programacion!$A$8:$S$1048576,19,FALSE))</f>
        <v>GB01</v>
      </c>
    </row>
    <row r="277" spans="1:33" x14ac:dyDescent="0.25">
      <c r="A277" s="33" t="s">
        <v>1340</v>
      </c>
      <c r="B277" t="s">
        <v>489</v>
      </c>
      <c r="C277" t="s">
        <v>41</v>
      </c>
      <c r="D277" t="s">
        <v>557</v>
      </c>
      <c r="E277" t="s">
        <v>558</v>
      </c>
      <c r="F277" t="s">
        <v>1357</v>
      </c>
      <c r="G277" t="s">
        <v>560</v>
      </c>
      <c r="H277" t="s">
        <v>561</v>
      </c>
      <c r="I277" t="s">
        <v>1358</v>
      </c>
      <c r="L277" t="s">
        <v>666</v>
      </c>
      <c r="M277" t="s">
        <v>564</v>
      </c>
      <c r="N277" t="s">
        <v>565</v>
      </c>
      <c r="O277" t="s">
        <v>687</v>
      </c>
      <c r="P277" t="s">
        <v>738</v>
      </c>
      <c r="Q277" t="s">
        <v>568</v>
      </c>
      <c r="R277" t="s">
        <v>568</v>
      </c>
      <c r="S277" t="s">
        <v>569</v>
      </c>
      <c r="T277" t="s">
        <v>1359</v>
      </c>
      <c r="U277" t="s">
        <v>1336</v>
      </c>
      <c r="V277" t="s">
        <v>1360</v>
      </c>
      <c r="W277" t="s">
        <v>1072</v>
      </c>
      <c r="X277" t="s">
        <v>564</v>
      </c>
      <c r="Y277" t="s">
        <v>574</v>
      </c>
      <c r="Z277" t="s">
        <v>574</v>
      </c>
      <c r="AA277" t="s">
        <v>565</v>
      </c>
      <c r="AB277" t="s">
        <v>1338</v>
      </c>
      <c r="AC277" t="s">
        <v>596</v>
      </c>
      <c r="AD277" t="s">
        <v>656</v>
      </c>
      <c r="AE277" t="s">
        <v>906</v>
      </c>
      <c r="AF277" t="str">
        <f>IF(AND(HOUR(O277)&gt;=1,HOUR(O277)&lt;=13),VLOOKUP(B277,Programacion!$A$8:$S$1048576,16,FALSE),VLOOKUP(B277,Programacion!$A$8:$S$1048576,18,FALSE))</f>
        <v xml:space="preserve">  2260</v>
      </c>
      <c r="AG277" t="str">
        <f>IF(AND(HOUR(O277)&gt;=1,HOUR(O277)&lt;=13),VLOOKUP(B277,Programacion!$A$8:$S$1048576,17,FALSE),VLOOKUP(B277,Programacion!$A$8:$S$1048576,19,FALSE))</f>
        <v>GB01</v>
      </c>
    </row>
    <row r="278" spans="1:33" x14ac:dyDescent="0.25">
      <c r="A278" s="33" t="s">
        <v>1340</v>
      </c>
      <c r="B278" t="s">
        <v>489</v>
      </c>
      <c r="C278" t="s">
        <v>41</v>
      </c>
      <c r="D278" t="s">
        <v>557</v>
      </c>
      <c r="E278" t="s">
        <v>558</v>
      </c>
      <c r="F278" t="s">
        <v>1357</v>
      </c>
      <c r="G278" t="s">
        <v>560</v>
      </c>
      <c r="H278" t="s">
        <v>561</v>
      </c>
      <c r="I278" t="s">
        <v>1358</v>
      </c>
      <c r="L278" t="s">
        <v>666</v>
      </c>
      <c r="M278" t="s">
        <v>564</v>
      </c>
      <c r="N278" t="s">
        <v>565</v>
      </c>
      <c r="O278" t="s">
        <v>687</v>
      </c>
      <c r="P278" t="s">
        <v>738</v>
      </c>
      <c r="Q278" t="s">
        <v>568</v>
      </c>
      <c r="R278" t="s">
        <v>568</v>
      </c>
      <c r="S278" t="s">
        <v>569</v>
      </c>
      <c r="T278" t="s">
        <v>1359</v>
      </c>
      <c r="U278" t="s">
        <v>1336</v>
      </c>
      <c r="V278" t="s">
        <v>1360</v>
      </c>
      <c r="W278" t="s">
        <v>1072</v>
      </c>
      <c r="X278" t="s">
        <v>564</v>
      </c>
      <c r="Y278" t="s">
        <v>574</v>
      </c>
      <c r="Z278" t="s">
        <v>574</v>
      </c>
      <c r="AA278" t="s">
        <v>565</v>
      </c>
      <c r="AB278" t="s">
        <v>1338</v>
      </c>
      <c r="AC278" t="s">
        <v>598</v>
      </c>
      <c r="AD278" t="s">
        <v>599</v>
      </c>
      <c r="AE278" t="s">
        <v>600</v>
      </c>
      <c r="AF278" t="str">
        <f>IF(AND(HOUR(O278)&gt;=1,HOUR(O278)&lt;=13),VLOOKUP(B278,Programacion!$A$8:$S$1048576,16,FALSE),VLOOKUP(B278,Programacion!$A$8:$S$1048576,18,FALSE))</f>
        <v xml:space="preserve">  2260</v>
      </c>
      <c r="AG278" t="str">
        <f>IF(AND(HOUR(O278)&gt;=1,HOUR(O278)&lt;=13),VLOOKUP(B278,Programacion!$A$8:$S$1048576,17,FALSE),VLOOKUP(B278,Programacion!$A$8:$S$1048576,19,FALSE))</f>
        <v>GB01</v>
      </c>
    </row>
    <row r="279" spans="1:33" x14ac:dyDescent="0.25">
      <c r="A279" s="33" t="s">
        <v>1340</v>
      </c>
      <c r="B279" t="s">
        <v>489</v>
      </c>
      <c r="C279" t="s">
        <v>41</v>
      </c>
      <c r="D279" t="s">
        <v>557</v>
      </c>
      <c r="E279" t="s">
        <v>558</v>
      </c>
      <c r="F279" t="s">
        <v>1357</v>
      </c>
      <c r="G279" t="s">
        <v>560</v>
      </c>
      <c r="H279" t="s">
        <v>561</v>
      </c>
      <c r="I279" t="s">
        <v>1358</v>
      </c>
      <c r="L279" t="s">
        <v>666</v>
      </c>
      <c r="M279" t="s">
        <v>564</v>
      </c>
      <c r="N279" t="s">
        <v>565</v>
      </c>
      <c r="O279" t="s">
        <v>687</v>
      </c>
      <c r="P279" t="s">
        <v>738</v>
      </c>
      <c r="Q279" t="s">
        <v>568</v>
      </c>
      <c r="R279" t="s">
        <v>568</v>
      </c>
      <c r="S279" t="s">
        <v>569</v>
      </c>
      <c r="T279" t="s">
        <v>1359</v>
      </c>
      <c r="U279" t="s">
        <v>1336</v>
      </c>
      <c r="V279" t="s">
        <v>1360</v>
      </c>
      <c r="W279" t="s">
        <v>1072</v>
      </c>
      <c r="X279" t="s">
        <v>564</v>
      </c>
      <c r="Y279" t="s">
        <v>574</v>
      </c>
      <c r="Z279" t="s">
        <v>574</v>
      </c>
      <c r="AA279" t="s">
        <v>565</v>
      </c>
      <c r="AB279" t="s">
        <v>1338</v>
      </c>
      <c r="AC279" t="s">
        <v>576</v>
      </c>
      <c r="AD279" t="s">
        <v>599</v>
      </c>
      <c r="AE279" t="s">
        <v>647</v>
      </c>
      <c r="AF279" t="str">
        <f>IF(AND(HOUR(O279)&gt;=1,HOUR(O279)&lt;=13),VLOOKUP(B279,Programacion!$A$8:$S$1048576,16,FALSE),VLOOKUP(B279,Programacion!$A$8:$S$1048576,18,FALSE))</f>
        <v xml:space="preserve">  2260</v>
      </c>
      <c r="AG279" t="str">
        <f>IF(AND(HOUR(O279)&gt;=1,HOUR(O279)&lt;=13),VLOOKUP(B279,Programacion!$A$8:$S$1048576,17,FALSE),VLOOKUP(B279,Programacion!$A$8:$S$1048576,19,FALSE))</f>
        <v>GB01</v>
      </c>
    </row>
    <row r="280" spans="1:33" x14ac:dyDescent="0.25">
      <c r="A280" s="33" t="s">
        <v>186</v>
      </c>
      <c r="B280" t="s">
        <v>477</v>
      </c>
      <c r="C280" t="s">
        <v>1361</v>
      </c>
      <c r="D280" t="s">
        <v>557</v>
      </c>
      <c r="E280" t="s">
        <v>558</v>
      </c>
      <c r="F280" t="s">
        <v>1362</v>
      </c>
      <c r="G280" t="s">
        <v>560</v>
      </c>
      <c r="H280" t="s">
        <v>561</v>
      </c>
      <c r="I280" t="s">
        <v>1363</v>
      </c>
      <c r="L280" t="s">
        <v>701</v>
      </c>
      <c r="M280" t="s">
        <v>564</v>
      </c>
      <c r="N280" t="s">
        <v>573</v>
      </c>
      <c r="O280" t="s">
        <v>631</v>
      </c>
      <c r="P280" t="s">
        <v>1191</v>
      </c>
      <c r="Q280" t="s">
        <v>704</v>
      </c>
      <c r="R280" t="s">
        <v>704</v>
      </c>
      <c r="S280" t="s">
        <v>1259</v>
      </c>
      <c r="T280" t="s">
        <v>1364</v>
      </c>
      <c r="U280" t="s">
        <v>1365</v>
      </c>
      <c r="V280" t="s">
        <v>1366</v>
      </c>
      <c r="W280" t="s">
        <v>564</v>
      </c>
      <c r="X280" t="s">
        <v>564</v>
      </c>
      <c r="Y280" t="s">
        <v>574</v>
      </c>
      <c r="Z280" t="s">
        <v>574</v>
      </c>
      <c r="AA280" t="s">
        <v>565</v>
      </c>
      <c r="AB280" t="s">
        <v>714</v>
      </c>
      <c r="AC280" t="s">
        <v>598</v>
      </c>
      <c r="AD280" t="s">
        <v>869</v>
      </c>
      <c r="AE280" t="s">
        <v>600</v>
      </c>
      <c r="AF280" t="e">
        <f>IF(AND(HOUR(O280)&gt;=1,HOUR(O280)&lt;=13),VLOOKUP(B280,Programacion!$A$8:$S$1048576,16,FALSE),VLOOKUP(B280,Programacion!$A$8:$S$1048576,18,FALSE))</f>
        <v>#REF!</v>
      </c>
      <c r="AG280" t="e">
        <f>IF(AND(HOUR(O280)&gt;=1,HOUR(O280)&lt;=13),VLOOKUP(B280,Programacion!$A$8:$S$1048576,17,FALSE),VLOOKUP(B280,Programacion!$A$8:$S$1048576,19,FALSE))</f>
        <v>#REF!</v>
      </c>
    </row>
    <row r="281" spans="1:33" x14ac:dyDescent="0.25">
      <c r="A281" s="33" t="s">
        <v>186</v>
      </c>
      <c r="B281" t="s">
        <v>477</v>
      </c>
      <c r="C281" t="s">
        <v>1361</v>
      </c>
      <c r="D281" t="s">
        <v>557</v>
      </c>
      <c r="E281" t="s">
        <v>558</v>
      </c>
      <c r="F281" t="s">
        <v>1362</v>
      </c>
      <c r="G281" t="s">
        <v>560</v>
      </c>
      <c r="H281" t="s">
        <v>561</v>
      </c>
      <c r="I281" t="s">
        <v>1363</v>
      </c>
      <c r="L281" t="s">
        <v>701</v>
      </c>
      <c r="M281" t="s">
        <v>564</v>
      </c>
      <c r="N281" t="s">
        <v>573</v>
      </c>
      <c r="O281" t="s">
        <v>631</v>
      </c>
      <c r="P281" t="s">
        <v>1191</v>
      </c>
      <c r="Q281" t="s">
        <v>704</v>
      </c>
      <c r="R281" t="s">
        <v>704</v>
      </c>
      <c r="S281" t="s">
        <v>1259</v>
      </c>
      <c r="T281" t="s">
        <v>1364</v>
      </c>
      <c r="U281" t="s">
        <v>1365</v>
      </c>
      <c r="V281" t="s">
        <v>1366</v>
      </c>
      <c r="W281" t="s">
        <v>564</v>
      </c>
      <c r="X281" t="s">
        <v>564</v>
      </c>
      <c r="Y281" t="s">
        <v>574</v>
      </c>
      <c r="Z281" t="s">
        <v>574</v>
      </c>
      <c r="AA281" t="s">
        <v>565</v>
      </c>
      <c r="AB281" t="s">
        <v>714</v>
      </c>
      <c r="AC281" t="s">
        <v>588</v>
      </c>
      <c r="AD281" t="s">
        <v>869</v>
      </c>
      <c r="AE281" t="s">
        <v>618</v>
      </c>
      <c r="AF281" t="e">
        <f>IF(AND(HOUR(O281)&gt;=1,HOUR(O281)&lt;=13),VLOOKUP(B281,Programacion!$A$8:$S$1048576,16,FALSE),VLOOKUP(B281,Programacion!$A$8:$S$1048576,18,FALSE))</f>
        <v>#REF!</v>
      </c>
      <c r="AG281" t="e">
        <f>IF(AND(HOUR(O281)&gt;=1,HOUR(O281)&lt;=13),VLOOKUP(B281,Programacion!$A$8:$S$1048576,17,FALSE),VLOOKUP(B281,Programacion!$A$8:$S$1048576,19,FALSE))</f>
        <v>#REF!</v>
      </c>
    </row>
    <row r="282" spans="1:33" x14ac:dyDescent="0.25">
      <c r="A282" s="33" t="s">
        <v>186</v>
      </c>
      <c r="B282" t="s">
        <v>477</v>
      </c>
      <c r="C282" t="s">
        <v>1361</v>
      </c>
      <c r="D282" t="s">
        <v>557</v>
      </c>
      <c r="E282" t="s">
        <v>558</v>
      </c>
      <c r="F282" t="s">
        <v>1362</v>
      </c>
      <c r="G282" t="s">
        <v>560</v>
      </c>
      <c r="H282" t="s">
        <v>561</v>
      </c>
      <c r="I282" t="s">
        <v>1363</v>
      </c>
      <c r="L282" t="s">
        <v>701</v>
      </c>
      <c r="M282" t="s">
        <v>564</v>
      </c>
      <c r="N282" t="s">
        <v>573</v>
      </c>
      <c r="O282" t="s">
        <v>631</v>
      </c>
      <c r="P282" t="s">
        <v>1191</v>
      </c>
      <c r="Q282" t="s">
        <v>704</v>
      </c>
      <c r="R282" t="s">
        <v>704</v>
      </c>
      <c r="S282" t="s">
        <v>1259</v>
      </c>
      <c r="T282" t="s">
        <v>1364</v>
      </c>
      <c r="U282" t="s">
        <v>1365</v>
      </c>
      <c r="V282" t="s">
        <v>1366</v>
      </c>
      <c r="W282" t="s">
        <v>564</v>
      </c>
      <c r="X282" t="s">
        <v>564</v>
      </c>
      <c r="Y282" t="s">
        <v>574</v>
      </c>
      <c r="Z282" t="s">
        <v>574</v>
      </c>
      <c r="AA282" t="s">
        <v>565</v>
      </c>
      <c r="AB282" t="s">
        <v>714</v>
      </c>
      <c r="AC282" t="s">
        <v>596</v>
      </c>
      <c r="AD282" t="s">
        <v>589</v>
      </c>
      <c r="AE282" t="s">
        <v>663</v>
      </c>
      <c r="AF282" t="e">
        <f>IF(AND(HOUR(O282)&gt;=1,HOUR(O282)&lt;=13),VLOOKUP(B282,Programacion!$A$8:$S$1048576,16,FALSE),VLOOKUP(B282,Programacion!$A$8:$S$1048576,18,FALSE))</f>
        <v>#REF!</v>
      </c>
      <c r="AG282" t="e">
        <f>IF(AND(HOUR(O282)&gt;=1,HOUR(O282)&lt;=13),VLOOKUP(B282,Programacion!$A$8:$S$1048576,17,FALSE),VLOOKUP(B282,Programacion!$A$8:$S$1048576,19,FALSE))</f>
        <v>#REF!</v>
      </c>
    </row>
    <row r="283" spans="1:33" x14ac:dyDescent="0.25">
      <c r="A283" s="33" t="s">
        <v>186</v>
      </c>
      <c r="B283" t="s">
        <v>477</v>
      </c>
      <c r="C283" t="s">
        <v>1361</v>
      </c>
      <c r="D283" t="s">
        <v>557</v>
      </c>
      <c r="E283" t="s">
        <v>558</v>
      </c>
      <c r="F283" t="s">
        <v>1362</v>
      </c>
      <c r="G283" t="s">
        <v>560</v>
      </c>
      <c r="H283" t="s">
        <v>561</v>
      </c>
      <c r="I283" t="s">
        <v>1363</v>
      </c>
      <c r="L283" t="s">
        <v>701</v>
      </c>
      <c r="M283" t="s">
        <v>564</v>
      </c>
      <c r="N283" t="s">
        <v>573</v>
      </c>
      <c r="O283" t="s">
        <v>631</v>
      </c>
      <c r="P283" t="s">
        <v>1191</v>
      </c>
      <c r="Q283" t="s">
        <v>704</v>
      </c>
      <c r="R283" t="s">
        <v>704</v>
      </c>
      <c r="S283" t="s">
        <v>1259</v>
      </c>
      <c r="T283" t="s">
        <v>1367</v>
      </c>
      <c r="U283" t="s">
        <v>846</v>
      </c>
      <c r="V283" t="s">
        <v>1368</v>
      </c>
      <c r="W283" t="s">
        <v>1369</v>
      </c>
      <c r="X283" t="s">
        <v>564</v>
      </c>
      <c r="Y283" t="s">
        <v>574</v>
      </c>
      <c r="Z283" t="s">
        <v>574</v>
      </c>
      <c r="AA283" t="s">
        <v>565</v>
      </c>
      <c r="AB283" t="s">
        <v>969</v>
      </c>
      <c r="AC283" t="s">
        <v>576</v>
      </c>
      <c r="AD283" t="s">
        <v>692</v>
      </c>
      <c r="AE283" t="s">
        <v>996</v>
      </c>
      <c r="AF283" t="e">
        <f>IF(AND(HOUR(O283)&gt;=1,HOUR(O283)&lt;=13),VLOOKUP(B283,Programacion!$A$8:$S$1048576,16,FALSE),VLOOKUP(B283,Programacion!$A$8:$S$1048576,18,FALSE))</f>
        <v>#REF!</v>
      </c>
      <c r="AG283" t="e">
        <f>IF(AND(HOUR(O283)&gt;=1,HOUR(O283)&lt;=13),VLOOKUP(B283,Programacion!$A$8:$S$1048576,17,FALSE),VLOOKUP(B283,Programacion!$A$8:$S$1048576,19,FALSE))</f>
        <v>#REF!</v>
      </c>
    </row>
    <row r="284" spans="1:33" x14ac:dyDescent="0.25">
      <c r="A284" s="33" t="s">
        <v>186</v>
      </c>
      <c r="B284" t="s">
        <v>477</v>
      </c>
      <c r="C284" t="s">
        <v>1361</v>
      </c>
      <c r="D284" t="s">
        <v>557</v>
      </c>
      <c r="E284" t="s">
        <v>558</v>
      </c>
      <c r="F284" t="s">
        <v>1362</v>
      </c>
      <c r="G284" t="s">
        <v>560</v>
      </c>
      <c r="H284" t="s">
        <v>561</v>
      </c>
      <c r="I284" t="s">
        <v>1363</v>
      </c>
      <c r="L284" t="s">
        <v>701</v>
      </c>
      <c r="M284" t="s">
        <v>564</v>
      </c>
      <c r="N284" t="s">
        <v>573</v>
      </c>
      <c r="O284" t="s">
        <v>631</v>
      </c>
      <c r="P284" t="s">
        <v>1191</v>
      </c>
      <c r="Q284" t="s">
        <v>704</v>
      </c>
      <c r="R284" t="s">
        <v>704</v>
      </c>
      <c r="S284" t="s">
        <v>1259</v>
      </c>
      <c r="T284" t="s">
        <v>1367</v>
      </c>
      <c r="U284" t="s">
        <v>846</v>
      </c>
      <c r="V284" t="s">
        <v>1368</v>
      </c>
      <c r="W284" t="s">
        <v>1369</v>
      </c>
      <c r="X284" t="s">
        <v>564</v>
      </c>
      <c r="Y284" t="s">
        <v>574</v>
      </c>
      <c r="Z284" t="s">
        <v>574</v>
      </c>
      <c r="AA284" t="s">
        <v>565</v>
      </c>
      <c r="AB284" t="s">
        <v>969</v>
      </c>
      <c r="AC284" t="s">
        <v>596</v>
      </c>
      <c r="AD284" t="s">
        <v>798</v>
      </c>
      <c r="AE284" t="s">
        <v>696</v>
      </c>
      <c r="AF284" t="e">
        <f>IF(AND(HOUR(O284)&gt;=1,HOUR(O284)&lt;=13),VLOOKUP(B284,Programacion!$A$8:$S$1048576,16,FALSE),VLOOKUP(B284,Programacion!$A$8:$S$1048576,18,FALSE))</f>
        <v>#REF!</v>
      </c>
      <c r="AG284" t="e">
        <f>IF(AND(HOUR(O284)&gt;=1,HOUR(O284)&lt;=13),VLOOKUP(B284,Programacion!$A$8:$S$1048576,17,FALSE),VLOOKUP(B284,Programacion!$A$8:$S$1048576,19,FALSE))</f>
        <v>#REF!</v>
      </c>
    </row>
    <row r="285" spans="1:33" x14ac:dyDescent="0.25">
      <c r="A285" s="33" t="s">
        <v>186</v>
      </c>
      <c r="B285" t="s">
        <v>477</v>
      </c>
      <c r="C285" t="s">
        <v>1361</v>
      </c>
      <c r="D285" t="s">
        <v>557</v>
      </c>
      <c r="E285" t="s">
        <v>558</v>
      </c>
      <c r="F285" t="s">
        <v>1370</v>
      </c>
      <c r="G285" t="s">
        <v>560</v>
      </c>
      <c r="H285" t="s">
        <v>561</v>
      </c>
      <c r="I285" t="s">
        <v>1371</v>
      </c>
      <c r="L285" t="s">
        <v>822</v>
      </c>
      <c r="M285" t="s">
        <v>564</v>
      </c>
      <c r="N285" t="s">
        <v>573</v>
      </c>
      <c r="O285" t="s">
        <v>955</v>
      </c>
      <c r="P285" t="s">
        <v>854</v>
      </c>
      <c r="Q285" t="s">
        <v>704</v>
      </c>
      <c r="R285" t="s">
        <v>704</v>
      </c>
      <c r="S285" t="s">
        <v>1259</v>
      </c>
      <c r="T285" t="s">
        <v>1372</v>
      </c>
      <c r="U285" t="s">
        <v>1373</v>
      </c>
      <c r="V285" t="s">
        <v>1374</v>
      </c>
      <c r="W285" t="s">
        <v>565</v>
      </c>
      <c r="X285" t="s">
        <v>564</v>
      </c>
      <c r="Y285" t="s">
        <v>574</v>
      </c>
      <c r="Z285" t="s">
        <v>574</v>
      </c>
      <c r="AA285" t="s">
        <v>565</v>
      </c>
      <c r="AB285" t="s">
        <v>1375</v>
      </c>
      <c r="AC285" t="s">
        <v>576</v>
      </c>
      <c r="AD285" t="s">
        <v>1232</v>
      </c>
      <c r="AE285" t="s">
        <v>756</v>
      </c>
      <c r="AF285" t="e">
        <f>IF(AND(HOUR(O285)&gt;=1,HOUR(O285)&lt;=13),VLOOKUP(B285,Programacion!$A$8:$S$1048576,16,FALSE),VLOOKUP(B285,Programacion!$A$8:$S$1048576,18,FALSE))</f>
        <v>#REF!</v>
      </c>
      <c r="AG285" t="e">
        <f>IF(AND(HOUR(O285)&gt;=1,HOUR(O285)&lt;=13),VLOOKUP(B285,Programacion!$A$8:$S$1048576,17,FALSE),VLOOKUP(B285,Programacion!$A$8:$S$1048576,19,FALSE))</f>
        <v>#REF!</v>
      </c>
    </row>
    <row r="286" spans="1:33" x14ac:dyDescent="0.25">
      <c r="A286" s="33" t="s">
        <v>186</v>
      </c>
      <c r="B286" t="s">
        <v>477</v>
      </c>
      <c r="C286" t="s">
        <v>1361</v>
      </c>
      <c r="D286" t="s">
        <v>557</v>
      </c>
      <c r="E286" t="s">
        <v>558</v>
      </c>
      <c r="F286" t="s">
        <v>1370</v>
      </c>
      <c r="G286" t="s">
        <v>560</v>
      </c>
      <c r="H286" t="s">
        <v>561</v>
      </c>
      <c r="I286" t="s">
        <v>1371</v>
      </c>
      <c r="L286" t="s">
        <v>822</v>
      </c>
      <c r="M286" t="s">
        <v>564</v>
      </c>
      <c r="N286" t="s">
        <v>573</v>
      </c>
      <c r="O286" t="s">
        <v>955</v>
      </c>
      <c r="P286" t="s">
        <v>854</v>
      </c>
      <c r="Q286" t="s">
        <v>704</v>
      </c>
      <c r="R286" t="s">
        <v>704</v>
      </c>
      <c r="S286" t="s">
        <v>1259</v>
      </c>
      <c r="T286" t="s">
        <v>1372</v>
      </c>
      <c r="U286" t="s">
        <v>1373</v>
      </c>
      <c r="V286" t="s">
        <v>1374</v>
      </c>
      <c r="W286" t="s">
        <v>565</v>
      </c>
      <c r="X286" t="s">
        <v>564</v>
      </c>
      <c r="Y286" t="s">
        <v>574</v>
      </c>
      <c r="Z286" t="s">
        <v>574</v>
      </c>
      <c r="AA286" t="s">
        <v>565</v>
      </c>
      <c r="AB286" t="s">
        <v>1375</v>
      </c>
      <c r="AC286" t="s">
        <v>596</v>
      </c>
      <c r="AD286" t="s">
        <v>781</v>
      </c>
      <c r="AE286" t="s">
        <v>646</v>
      </c>
      <c r="AF286" t="e">
        <f>IF(AND(HOUR(O286)&gt;=1,HOUR(O286)&lt;=13),VLOOKUP(B286,Programacion!$A$8:$S$1048576,16,FALSE),VLOOKUP(B286,Programacion!$A$8:$S$1048576,18,FALSE))</f>
        <v>#REF!</v>
      </c>
      <c r="AG286" t="e">
        <f>IF(AND(HOUR(O286)&gt;=1,HOUR(O286)&lt;=13),VLOOKUP(B286,Programacion!$A$8:$S$1048576,17,FALSE),VLOOKUP(B286,Programacion!$A$8:$S$1048576,19,FALSE))</f>
        <v>#REF!</v>
      </c>
    </row>
    <row r="287" spans="1:33" x14ac:dyDescent="0.25">
      <c r="A287" s="33" t="s">
        <v>186</v>
      </c>
      <c r="B287" t="s">
        <v>477</v>
      </c>
      <c r="C287" t="s">
        <v>1361</v>
      </c>
      <c r="D287" t="s">
        <v>557</v>
      </c>
      <c r="E287" t="s">
        <v>558</v>
      </c>
      <c r="F287" t="s">
        <v>1370</v>
      </c>
      <c r="G287" t="s">
        <v>560</v>
      </c>
      <c r="H287" t="s">
        <v>561</v>
      </c>
      <c r="I287" t="s">
        <v>1371</v>
      </c>
      <c r="L287" t="s">
        <v>822</v>
      </c>
      <c r="M287" t="s">
        <v>564</v>
      </c>
      <c r="N287" t="s">
        <v>573</v>
      </c>
      <c r="O287" t="s">
        <v>955</v>
      </c>
      <c r="P287" t="s">
        <v>854</v>
      </c>
      <c r="Q287" t="s">
        <v>704</v>
      </c>
      <c r="R287" t="s">
        <v>704</v>
      </c>
      <c r="S287" t="s">
        <v>1259</v>
      </c>
      <c r="T287" t="s">
        <v>1372</v>
      </c>
      <c r="U287" t="s">
        <v>1373</v>
      </c>
      <c r="V287" t="s">
        <v>1374</v>
      </c>
      <c r="W287" t="s">
        <v>565</v>
      </c>
      <c r="X287" t="s">
        <v>564</v>
      </c>
      <c r="Y287" t="s">
        <v>574</v>
      </c>
      <c r="Z287" t="s">
        <v>574</v>
      </c>
      <c r="AA287" t="s">
        <v>565</v>
      </c>
      <c r="AB287" t="s">
        <v>1375</v>
      </c>
      <c r="AC287" t="s">
        <v>588</v>
      </c>
      <c r="AD287" t="s">
        <v>798</v>
      </c>
      <c r="AE287" t="s">
        <v>696</v>
      </c>
      <c r="AF287" t="e">
        <f>IF(AND(HOUR(O287)&gt;=1,HOUR(O287)&lt;=13),VLOOKUP(B287,Programacion!$A$8:$S$1048576,16,FALSE),VLOOKUP(B287,Programacion!$A$8:$S$1048576,18,FALSE))</f>
        <v>#REF!</v>
      </c>
      <c r="AG287" t="e">
        <f>IF(AND(HOUR(O287)&gt;=1,HOUR(O287)&lt;=13),VLOOKUP(B287,Programacion!$A$8:$S$1048576,17,FALSE),VLOOKUP(B287,Programacion!$A$8:$S$1048576,19,FALSE))</f>
        <v>#REF!</v>
      </c>
    </row>
    <row r="288" spans="1:33" x14ac:dyDescent="0.25">
      <c r="A288" s="33" t="s">
        <v>186</v>
      </c>
      <c r="B288" t="s">
        <v>477</v>
      </c>
      <c r="C288" t="s">
        <v>1361</v>
      </c>
      <c r="D288" t="s">
        <v>557</v>
      </c>
      <c r="E288" t="s">
        <v>558</v>
      </c>
      <c r="F288" t="s">
        <v>1370</v>
      </c>
      <c r="G288" t="s">
        <v>560</v>
      </c>
      <c r="H288" t="s">
        <v>561</v>
      </c>
      <c r="I288" t="s">
        <v>1371</v>
      </c>
      <c r="L288" t="s">
        <v>822</v>
      </c>
      <c r="M288" t="s">
        <v>564</v>
      </c>
      <c r="N288" t="s">
        <v>573</v>
      </c>
      <c r="O288" t="s">
        <v>955</v>
      </c>
      <c r="P288" t="s">
        <v>854</v>
      </c>
      <c r="Q288" t="s">
        <v>704</v>
      </c>
      <c r="R288" t="s">
        <v>704</v>
      </c>
      <c r="S288" t="s">
        <v>1259</v>
      </c>
      <c r="T288" t="s">
        <v>1372</v>
      </c>
      <c r="U288" t="s">
        <v>1373</v>
      </c>
      <c r="V288" t="s">
        <v>1374</v>
      </c>
      <c r="W288" t="s">
        <v>565</v>
      </c>
      <c r="X288" t="s">
        <v>564</v>
      </c>
      <c r="Y288" t="s">
        <v>574</v>
      </c>
      <c r="Z288" t="s">
        <v>574</v>
      </c>
      <c r="AA288" t="s">
        <v>565</v>
      </c>
      <c r="AB288" t="s">
        <v>1375</v>
      </c>
      <c r="AC288" t="s">
        <v>598</v>
      </c>
      <c r="AD288" t="s">
        <v>695</v>
      </c>
      <c r="AE288" t="s">
        <v>647</v>
      </c>
      <c r="AF288" t="e">
        <f>IF(AND(HOUR(O288)&gt;=1,HOUR(O288)&lt;=13),VLOOKUP(B288,Programacion!$A$8:$S$1048576,16,FALSE),VLOOKUP(B288,Programacion!$A$8:$S$1048576,18,FALSE))</f>
        <v>#REF!</v>
      </c>
      <c r="AG288" t="e">
        <f>IF(AND(HOUR(O288)&gt;=1,HOUR(O288)&lt;=13),VLOOKUP(B288,Programacion!$A$8:$S$1048576,17,FALSE),VLOOKUP(B288,Programacion!$A$8:$S$1048576,19,FALSE))</f>
        <v>#REF!</v>
      </c>
    </row>
    <row r="289" spans="1:33" x14ac:dyDescent="0.25">
      <c r="A289" s="33" t="s">
        <v>186</v>
      </c>
      <c r="B289" t="s">
        <v>477</v>
      </c>
      <c r="C289" t="s">
        <v>1361</v>
      </c>
      <c r="D289" t="s">
        <v>557</v>
      </c>
      <c r="E289" t="s">
        <v>558</v>
      </c>
      <c r="F289" t="s">
        <v>1376</v>
      </c>
      <c r="G289" t="s">
        <v>560</v>
      </c>
      <c r="H289" t="s">
        <v>561</v>
      </c>
      <c r="I289" t="s">
        <v>1377</v>
      </c>
      <c r="L289" t="s">
        <v>737</v>
      </c>
      <c r="M289" t="s">
        <v>564</v>
      </c>
      <c r="N289" t="s">
        <v>573</v>
      </c>
      <c r="O289" t="s">
        <v>609</v>
      </c>
      <c r="P289" t="s">
        <v>854</v>
      </c>
      <c r="Q289" t="s">
        <v>704</v>
      </c>
      <c r="R289" t="s">
        <v>704</v>
      </c>
      <c r="S289" t="s">
        <v>1259</v>
      </c>
      <c r="T289" t="s">
        <v>1378</v>
      </c>
      <c r="U289" t="s">
        <v>856</v>
      </c>
      <c r="V289" t="s">
        <v>1379</v>
      </c>
      <c r="W289" t="s">
        <v>573</v>
      </c>
      <c r="X289" t="s">
        <v>564</v>
      </c>
      <c r="Y289" t="s">
        <v>574</v>
      </c>
      <c r="Z289" t="s">
        <v>574</v>
      </c>
      <c r="AA289" t="s">
        <v>565</v>
      </c>
      <c r="AB289" t="s">
        <v>858</v>
      </c>
      <c r="AC289" t="s">
        <v>588</v>
      </c>
      <c r="AD289" t="s">
        <v>589</v>
      </c>
      <c r="AE289" t="s">
        <v>1380</v>
      </c>
      <c r="AF289" t="e">
        <f>IF(AND(HOUR(O289)&gt;=1,HOUR(O289)&lt;=13),VLOOKUP(B289,Programacion!$A$8:$S$1048576,16,FALSE),VLOOKUP(B289,Programacion!$A$8:$S$1048576,18,FALSE))</f>
        <v>#N/A</v>
      </c>
      <c r="AG289" t="e">
        <f>IF(AND(HOUR(O289)&gt;=1,HOUR(O289)&lt;=13),VLOOKUP(B289,Programacion!$A$8:$S$1048576,17,FALSE),VLOOKUP(B289,Programacion!$A$8:$S$1048576,19,FALSE))</f>
        <v>#N/A</v>
      </c>
    </row>
    <row r="290" spans="1:33" x14ac:dyDescent="0.25">
      <c r="A290" s="33" t="s">
        <v>186</v>
      </c>
      <c r="B290" t="s">
        <v>477</v>
      </c>
      <c r="C290" t="s">
        <v>1361</v>
      </c>
      <c r="D290" t="s">
        <v>557</v>
      </c>
      <c r="E290" t="s">
        <v>558</v>
      </c>
      <c r="F290" t="s">
        <v>1376</v>
      </c>
      <c r="G290" t="s">
        <v>560</v>
      </c>
      <c r="H290" t="s">
        <v>561</v>
      </c>
      <c r="I290" t="s">
        <v>1377</v>
      </c>
      <c r="L290" t="s">
        <v>737</v>
      </c>
      <c r="M290" t="s">
        <v>564</v>
      </c>
      <c r="N290" t="s">
        <v>573</v>
      </c>
      <c r="O290" t="s">
        <v>609</v>
      </c>
      <c r="P290" t="s">
        <v>854</v>
      </c>
      <c r="Q290" t="s">
        <v>704</v>
      </c>
      <c r="R290" t="s">
        <v>704</v>
      </c>
      <c r="S290" t="s">
        <v>1259</v>
      </c>
      <c r="T290" t="s">
        <v>1378</v>
      </c>
      <c r="U290" t="s">
        <v>856</v>
      </c>
      <c r="V290" t="s">
        <v>1379</v>
      </c>
      <c r="W290" t="s">
        <v>573</v>
      </c>
      <c r="X290" t="s">
        <v>564</v>
      </c>
      <c r="Y290" t="s">
        <v>574</v>
      </c>
      <c r="Z290" t="s">
        <v>574</v>
      </c>
      <c r="AA290" t="s">
        <v>565</v>
      </c>
      <c r="AB290" t="s">
        <v>858</v>
      </c>
      <c r="AC290" t="s">
        <v>598</v>
      </c>
      <c r="AD290" t="s">
        <v>869</v>
      </c>
      <c r="AE290" t="s">
        <v>618</v>
      </c>
      <c r="AF290" t="e">
        <f>IF(AND(HOUR(O290)&gt;=1,HOUR(O290)&lt;=13),VLOOKUP(B290,Programacion!$A$8:$S$1048576,16,FALSE),VLOOKUP(B290,Programacion!$A$8:$S$1048576,18,FALSE))</f>
        <v>#N/A</v>
      </c>
      <c r="AG290" t="e">
        <f>IF(AND(HOUR(O290)&gt;=1,HOUR(O290)&lt;=13),VLOOKUP(B290,Programacion!$A$8:$S$1048576,17,FALSE),VLOOKUP(B290,Programacion!$A$8:$S$1048576,19,FALSE))</f>
        <v>#N/A</v>
      </c>
    </row>
    <row r="291" spans="1:33" x14ac:dyDescent="0.25">
      <c r="A291" s="33" t="s">
        <v>186</v>
      </c>
      <c r="B291" t="s">
        <v>477</v>
      </c>
      <c r="C291" t="s">
        <v>1361</v>
      </c>
      <c r="D291" t="s">
        <v>557</v>
      </c>
      <c r="E291" t="s">
        <v>558</v>
      </c>
      <c r="F291" t="s">
        <v>1376</v>
      </c>
      <c r="G291" t="s">
        <v>560</v>
      </c>
      <c r="H291" t="s">
        <v>561</v>
      </c>
      <c r="I291" t="s">
        <v>1377</v>
      </c>
      <c r="L291" t="s">
        <v>737</v>
      </c>
      <c r="M291" t="s">
        <v>564</v>
      </c>
      <c r="N291" t="s">
        <v>573</v>
      </c>
      <c r="O291" t="s">
        <v>609</v>
      </c>
      <c r="P291" t="s">
        <v>854</v>
      </c>
      <c r="Q291" t="s">
        <v>704</v>
      </c>
      <c r="R291" t="s">
        <v>704</v>
      </c>
      <c r="S291" t="s">
        <v>1259</v>
      </c>
      <c r="T291" t="s">
        <v>1378</v>
      </c>
      <c r="U291" t="s">
        <v>856</v>
      </c>
      <c r="V291" t="s">
        <v>1379</v>
      </c>
      <c r="W291" t="s">
        <v>573</v>
      </c>
      <c r="X291" t="s">
        <v>564</v>
      </c>
      <c r="Y291" t="s">
        <v>574</v>
      </c>
      <c r="Z291" t="s">
        <v>574</v>
      </c>
      <c r="AA291" t="s">
        <v>565</v>
      </c>
      <c r="AB291" t="s">
        <v>858</v>
      </c>
      <c r="AC291" t="s">
        <v>596</v>
      </c>
      <c r="AD291" t="s">
        <v>599</v>
      </c>
      <c r="AE291" t="s">
        <v>651</v>
      </c>
      <c r="AF291" t="e">
        <f>IF(AND(HOUR(O291)&gt;=1,HOUR(O291)&lt;=13),VLOOKUP(B291,Programacion!$A$8:$S$1048576,16,FALSE),VLOOKUP(B291,Programacion!$A$8:$S$1048576,18,FALSE))</f>
        <v>#N/A</v>
      </c>
      <c r="AG291" t="e">
        <f>IF(AND(HOUR(O291)&gt;=1,HOUR(O291)&lt;=13),VLOOKUP(B291,Programacion!$A$8:$S$1048576,17,FALSE),VLOOKUP(B291,Programacion!$A$8:$S$1048576,19,FALSE))</f>
        <v>#N/A</v>
      </c>
    </row>
    <row r="292" spans="1:33" x14ac:dyDescent="0.25">
      <c r="A292" s="33" t="s">
        <v>186</v>
      </c>
      <c r="B292" t="s">
        <v>477</v>
      </c>
      <c r="C292" t="s">
        <v>1361</v>
      </c>
      <c r="D292" t="s">
        <v>557</v>
      </c>
      <c r="E292" t="s">
        <v>558</v>
      </c>
      <c r="F292" t="s">
        <v>1376</v>
      </c>
      <c r="G292" t="s">
        <v>560</v>
      </c>
      <c r="H292" t="s">
        <v>561</v>
      </c>
      <c r="I292" t="s">
        <v>1377</v>
      </c>
      <c r="L292" t="s">
        <v>737</v>
      </c>
      <c r="M292" t="s">
        <v>564</v>
      </c>
      <c r="N292" t="s">
        <v>573</v>
      </c>
      <c r="O292" t="s">
        <v>609</v>
      </c>
      <c r="P292" t="s">
        <v>854</v>
      </c>
      <c r="Q292" t="s">
        <v>704</v>
      </c>
      <c r="R292" t="s">
        <v>704</v>
      </c>
      <c r="S292" t="s">
        <v>1259</v>
      </c>
      <c r="T292" t="s">
        <v>1378</v>
      </c>
      <c r="U292" t="s">
        <v>856</v>
      </c>
      <c r="V292" t="s">
        <v>1379</v>
      </c>
      <c r="W292" t="s">
        <v>573</v>
      </c>
      <c r="X292" t="s">
        <v>564</v>
      </c>
      <c r="Y292" t="s">
        <v>574</v>
      </c>
      <c r="Z292" t="s">
        <v>574</v>
      </c>
      <c r="AA292" t="s">
        <v>565</v>
      </c>
      <c r="AB292" t="s">
        <v>858</v>
      </c>
      <c r="AC292" t="s">
        <v>576</v>
      </c>
      <c r="AD292" t="s">
        <v>829</v>
      </c>
      <c r="AE292" t="s">
        <v>597</v>
      </c>
      <c r="AF292" t="e">
        <f>IF(AND(HOUR(O292)&gt;=1,HOUR(O292)&lt;=13),VLOOKUP(B292,Programacion!$A$8:$S$1048576,16,FALSE),VLOOKUP(B292,Programacion!$A$8:$S$1048576,18,FALSE))</f>
        <v>#N/A</v>
      </c>
      <c r="AG292" t="e">
        <f>IF(AND(HOUR(O292)&gt;=1,HOUR(O292)&lt;=13),VLOOKUP(B292,Programacion!$A$8:$S$1048576,17,FALSE),VLOOKUP(B292,Programacion!$A$8:$S$1048576,19,FALSE))</f>
        <v>#N/A</v>
      </c>
    </row>
    <row r="293" spans="1:33" x14ac:dyDescent="0.25">
      <c r="A293" s="33" t="s">
        <v>186</v>
      </c>
      <c r="B293" t="s">
        <v>477</v>
      </c>
      <c r="C293" t="s">
        <v>1361</v>
      </c>
      <c r="D293" t="s">
        <v>557</v>
      </c>
      <c r="E293" t="s">
        <v>558</v>
      </c>
      <c r="F293" t="s">
        <v>1381</v>
      </c>
      <c r="G293" t="s">
        <v>560</v>
      </c>
      <c r="H293" t="s">
        <v>561</v>
      </c>
      <c r="I293" t="s">
        <v>1382</v>
      </c>
      <c r="L293" t="s">
        <v>862</v>
      </c>
      <c r="M293" t="s">
        <v>564</v>
      </c>
      <c r="N293" t="s">
        <v>573</v>
      </c>
      <c r="O293" t="s">
        <v>863</v>
      </c>
      <c r="P293" t="s">
        <v>605</v>
      </c>
      <c r="Q293" t="s">
        <v>704</v>
      </c>
      <c r="R293" t="s">
        <v>704</v>
      </c>
      <c r="S293" t="s">
        <v>1259</v>
      </c>
      <c r="T293" t="s">
        <v>1383</v>
      </c>
      <c r="U293" t="s">
        <v>835</v>
      </c>
      <c r="V293" t="s">
        <v>1384</v>
      </c>
      <c r="W293" t="s">
        <v>586</v>
      </c>
      <c r="X293" t="s">
        <v>564</v>
      </c>
      <c r="Y293" t="s">
        <v>574</v>
      </c>
      <c r="Z293" t="s">
        <v>574</v>
      </c>
      <c r="AA293" t="s">
        <v>565</v>
      </c>
      <c r="AB293" t="s">
        <v>617</v>
      </c>
      <c r="AC293" t="s">
        <v>576</v>
      </c>
      <c r="AD293" t="s">
        <v>781</v>
      </c>
      <c r="AE293" t="s">
        <v>1385</v>
      </c>
      <c r="AF293" t="e">
        <f>IF(AND(HOUR(O293)&gt;=1,HOUR(O293)&lt;=13),VLOOKUP(B293,Programacion!$A$8:$S$1048576,16,FALSE),VLOOKUP(B293,Programacion!$A$8:$S$1048576,18,FALSE))</f>
        <v>#N/A</v>
      </c>
      <c r="AG293" t="e">
        <f>IF(AND(HOUR(O293)&gt;=1,HOUR(O293)&lt;=13),VLOOKUP(B293,Programacion!$A$8:$S$1048576,17,FALSE),VLOOKUP(B293,Programacion!$A$8:$S$1048576,19,FALSE))</f>
        <v>#N/A</v>
      </c>
    </row>
    <row r="294" spans="1:33" x14ac:dyDescent="0.25">
      <c r="A294" s="33" t="s">
        <v>186</v>
      </c>
      <c r="B294" t="s">
        <v>477</v>
      </c>
      <c r="C294" t="s">
        <v>1361</v>
      </c>
      <c r="D294" t="s">
        <v>557</v>
      </c>
      <c r="E294" t="s">
        <v>558</v>
      </c>
      <c r="F294" t="s">
        <v>1381</v>
      </c>
      <c r="G294" t="s">
        <v>560</v>
      </c>
      <c r="H294" t="s">
        <v>561</v>
      </c>
      <c r="I294" t="s">
        <v>1382</v>
      </c>
      <c r="L294" t="s">
        <v>862</v>
      </c>
      <c r="M294" t="s">
        <v>564</v>
      </c>
      <c r="N294" t="s">
        <v>573</v>
      </c>
      <c r="O294" t="s">
        <v>863</v>
      </c>
      <c r="P294" t="s">
        <v>605</v>
      </c>
      <c r="Q294" t="s">
        <v>704</v>
      </c>
      <c r="R294" t="s">
        <v>704</v>
      </c>
      <c r="S294" t="s">
        <v>1259</v>
      </c>
      <c r="T294" t="s">
        <v>1383</v>
      </c>
      <c r="U294" t="s">
        <v>835</v>
      </c>
      <c r="V294" t="s">
        <v>1384</v>
      </c>
      <c r="W294" t="s">
        <v>586</v>
      </c>
      <c r="X294" t="s">
        <v>564</v>
      </c>
      <c r="Y294" t="s">
        <v>574</v>
      </c>
      <c r="Z294" t="s">
        <v>574</v>
      </c>
      <c r="AA294" t="s">
        <v>565</v>
      </c>
      <c r="AB294" t="s">
        <v>617</v>
      </c>
      <c r="AC294" t="s">
        <v>588</v>
      </c>
      <c r="AD294" t="s">
        <v>1232</v>
      </c>
      <c r="AE294" t="s">
        <v>1233</v>
      </c>
      <c r="AF294" t="e">
        <f>IF(AND(HOUR(O294)&gt;=1,HOUR(O294)&lt;=13),VLOOKUP(B294,Programacion!$A$8:$S$1048576,16,FALSE),VLOOKUP(B294,Programacion!$A$8:$S$1048576,18,FALSE))</f>
        <v>#N/A</v>
      </c>
      <c r="AG294" t="e">
        <f>IF(AND(HOUR(O294)&gt;=1,HOUR(O294)&lt;=13),VLOOKUP(B294,Programacion!$A$8:$S$1048576,17,FALSE),VLOOKUP(B294,Programacion!$A$8:$S$1048576,19,FALSE))</f>
        <v>#N/A</v>
      </c>
    </row>
    <row r="295" spans="1:33" x14ac:dyDescent="0.25">
      <c r="A295" s="33" t="s">
        <v>186</v>
      </c>
      <c r="B295" t="s">
        <v>477</v>
      </c>
      <c r="C295" t="s">
        <v>1361</v>
      </c>
      <c r="D295" t="s">
        <v>557</v>
      </c>
      <c r="E295" t="s">
        <v>558</v>
      </c>
      <c r="F295" t="s">
        <v>1381</v>
      </c>
      <c r="G295" t="s">
        <v>560</v>
      </c>
      <c r="H295" t="s">
        <v>561</v>
      </c>
      <c r="I295" t="s">
        <v>1382</v>
      </c>
      <c r="L295" t="s">
        <v>862</v>
      </c>
      <c r="M295" t="s">
        <v>564</v>
      </c>
      <c r="N295" t="s">
        <v>573</v>
      </c>
      <c r="O295" t="s">
        <v>863</v>
      </c>
      <c r="P295" t="s">
        <v>605</v>
      </c>
      <c r="Q295" t="s">
        <v>704</v>
      </c>
      <c r="R295" t="s">
        <v>704</v>
      </c>
      <c r="S295" t="s">
        <v>1259</v>
      </c>
      <c r="T295" t="s">
        <v>1383</v>
      </c>
      <c r="U295" t="s">
        <v>835</v>
      </c>
      <c r="V295" t="s">
        <v>1384</v>
      </c>
      <c r="W295" t="s">
        <v>586</v>
      </c>
      <c r="X295" t="s">
        <v>564</v>
      </c>
      <c r="Y295" t="s">
        <v>574</v>
      </c>
      <c r="Z295" t="s">
        <v>574</v>
      </c>
      <c r="AA295" t="s">
        <v>565</v>
      </c>
      <c r="AB295" t="s">
        <v>617</v>
      </c>
      <c r="AC295" t="s">
        <v>598</v>
      </c>
      <c r="AD295" t="s">
        <v>798</v>
      </c>
      <c r="AE295" t="s">
        <v>696</v>
      </c>
      <c r="AF295" t="e">
        <f>IF(AND(HOUR(O295)&gt;=1,HOUR(O295)&lt;=13),VLOOKUP(B295,Programacion!$A$8:$S$1048576,16,FALSE),VLOOKUP(B295,Programacion!$A$8:$S$1048576,18,FALSE))</f>
        <v>#N/A</v>
      </c>
      <c r="AG295" t="e">
        <f>IF(AND(HOUR(O295)&gt;=1,HOUR(O295)&lt;=13),VLOOKUP(B295,Programacion!$A$8:$S$1048576,17,FALSE),VLOOKUP(B295,Programacion!$A$8:$S$1048576,19,FALSE))</f>
        <v>#N/A</v>
      </c>
    </row>
    <row r="296" spans="1:33" x14ac:dyDescent="0.25">
      <c r="A296" s="33" t="s">
        <v>186</v>
      </c>
      <c r="B296" t="s">
        <v>477</v>
      </c>
      <c r="C296" t="s">
        <v>1361</v>
      </c>
      <c r="D296" t="s">
        <v>557</v>
      </c>
      <c r="E296" t="s">
        <v>558</v>
      </c>
      <c r="F296" t="s">
        <v>1381</v>
      </c>
      <c r="G296" t="s">
        <v>560</v>
      </c>
      <c r="H296" t="s">
        <v>561</v>
      </c>
      <c r="I296" t="s">
        <v>1382</v>
      </c>
      <c r="L296" t="s">
        <v>862</v>
      </c>
      <c r="M296" t="s">
        <v>564</v>
      </c>
      <c r="N296" t="s">
        <v>573</v>
      </c>
      <c r="O296" t="s">
        <v>863</v>
      </c>
      <c r="P296" t="s">
        <v>605</v>
      </c>
      <c r="Q296" t="s">
        <v>704</v>
      </c>
      <c r="R296" t="s">
        <v>704</v>
      </c>
      <c r="S296" t="s">
        <v>1259</v>
      </c>
      <c r="T296" t="s">
        <v>1383</v>
      </c>
      <c r="U296" t="s">
        <v>835</v>
      </c>
      <c r="V296" t="s">
        <v>1384</v>
      </c>
      <c r="W296" t="s">
        <v>586</v>
      </c>
      <c r="X296" t="s">
        <v>564</v>
      </c>
      <c r="Y296" t="s">
        <v>574</v>
      </c>
      <c r="Z296" t="s">
        <v>574</v>
      </c>
      <c r="AA296" t="s">
        <v>565</v>
      </c>
      <c r="AB296" t="s">
        <v>617</v>
      </c>
      <c r="AC296" t="s">
        <v>596</v>
      </c>
      <c r="AD296" t="s">
        <v>695</v>
      </c>
      <c r="AE296" t="s">
        <v>647</v>
      </c>
      <c r="AF296" t="e">
        <f>IF(AND(HOUR(O296)&gt;=1,HOUR(O296)&lt;=13),VLOOKUP(B296,Programacion!$A$8:$S$1048576,16,FALSE),VLOOKUP(B296,Programacion!$A$8:$S$1048576,18,FALSE))</f>
        <v>#N/A</v>
      </c>
      <c r="AG296" t="e">
        <f>IF(AND(HOUR(O296)&gt;=1,HOUR(O296)&lt;=13),VLOOKUP(B296,Programacion!$A$8:$S$1048576,17,FALSE),VLOOKUP(B296,Programacion!$A$8:$S$1048576,19,FALSE))</f>
        <v>#N/A</v>
      </c>
    </row>
    <row r="297" spans="1:33" x14ac:dyDescent="0.25">
      <c r="A297" s="33" t="s">
        <v>186</v>
      </c>
      <c r="B297" t="s">
        <v>477</v>
      </c>
      <c r="C297" t="s">
        <v>1361</v>
      </c>
      <c r="D297" t="s">
        <v>557</v>
      </c>
      <c r="E297" t="s">
        <v>558</v>
      </c>
      <c r="F297" t="s">
        <v>1386</v>
      </c>
      <c r="G297" t="s">
        <v>560</v>
      </c>
      <c r="H297" t="s">
        <v>561</v>
      </c>
      <c r="I297" t="s">
        <v>1387</v>
      </c>
      <c r="L297" t="s">
        <v>1111</v>
      </c>
      <c r="M297" t="s">
        <v>564</v>
      </c>
      <c r="N297" t="s">
        <v>573</v>
      </c>
      <c r="O297" t="s">
        <v>805</v>
      </c>
      <c r="P297" t="s">
        <v>1243</v>
      </c>
      <c r="Q297" t="s">
        <v>704</v>
      </c>
      <c r="R297" t="s">
        <v>704</v>
      </c>
      <c r="S297" t="s">
        <v>1259</v>
      </c>
      <c r="T297" t="s">
        <v>1388</v>
      </c>
      <c r="U297" t="s">
        <v>690</v>
      </c>
      <c r="V297" t="s">
        <v>1389</v>
      </c>
      <c r="W297" t="s">
        <v>645</v>
      </c>
      <c r="X297" t="s">
        <v>564</v>
      </c>
      <c r="Y297" t="s">
        <v>574</v>
      </c>
      <c r="Z297" t="s">
        <v>574</v>
      </c>
      <c r="AA297" t="s">
        <v>565</v>
      </c>
      <c r="AB297" t="s">
        <v>890</v>
      </c>
      <c r="AC297" t="s">
        <v>576</v>
      </c>
      <c r="AD297" t="s">
        <v>869</v>
      </c>
      <c r="AE297" t="s">
        <v>600</v>
      </c>
      <c r="AF297" t="e">
        <f>IF(AND(HOUR(O297)&gt;=1,HOUR(O297)&lt;=13),VLOOKUP(B297,Programacion!$A$8:$S$1048576,16,FALSE),VLOOKUP(B297,Programacion!$A$8:$S$1048576,18,FALSE))</f>
        <v>#N/A</v>
      </c>
      <c r="AG297" t="e">
        <f>IF(AND(HOUR(O297)&gt;=1,HOUR(O297)&lt;=13),VLOOKUP(B297,Programacion!$A$8:$S$1048576,17,FALSE),VLOOKUP(B297,Programacion!$A$8:$S$1048576,19,FALSE))</f>
        <v>#N/A</v>
      </c>
    </row>
    <row r="298" spans="1:33" x14ac:dyDescent="0.25">
      <c r="A298" s="33" t="s">
        <v>186</v>
      </c>
      <c r="B298" t="s">
        <v>477</v>
      </c>
      <c r="C298" t="s">
        <v>1361</v>
      </c>
      <c r="D298" t="s">
        <v>557</v>
      </c>
      <c r="E298" t="s">
        <v>558</v>
      </c>
      <c r="F298" t="s">
        <v>1386</v>
      </c>
      <c r="G298" t="s">
        <v>560</v>
      </c>
      <c r="H298" t="s">
        <v>561</v>
      </c>
      <c r="I298" t="s">
        <v>1387</v>
      </c>
      <c r="L298" t="s">
        <v>1111</v>
      </c>
      <c r="M298" t="s">
        <v>564</v>
      </c>
      <c r="N298" t="s">
        <v>573</v>
      </c>
      <c r="O298" t="s">
        <v>805</v>
      </c>
      <c r="P298" t="s">
        <v>1243</v>
      </c>
      <c r="Q298" t="s">
        <v>704</v>
      </c>
      <c r="R298" t="s">
        <v>704</v>
      </c>
      <c r="S298" t="s">
        <v>1259</v>
      </c>
      <c r="T298" t="s">
        <v>1388</v>
      </c>
      <c r="U298" t="s">
        <v>690</v>
      </c>
      <c r="V298" t="s">
        <v>1389</v>
      </c>
      <c r="W298" t="s">
        <v>645</v>
      </c>
      <c r="X298" t="s">
        <v>564</v>
      </c>
      <c r="Y298" t="s">
        <v>574</v>
      </c>
      <c r="Z298" t="s">
        <v>574</v>
      </c>
      <c r="AA298" t="s">
        <v>565</v>
      </c>
      <c r="AB298" t="s">
        <v>890</v>
      </c>
      <c r="AC298" t="s">
        <v>598</v>
      </c>
      <c r="AD298" t="s">
        <v>1232</v>
      </c>
      <c r="AE298" t="s">
        <v>1233</v>
      </c>
      <c r="AF298" t="e">
        <f>IF(AND(HOUR(O298)&gt;=1,HOUR(O298)&lt;=13),VLOOKUP(B298,Programacion!$A$8:$S$1048576,16,FALSE),VLOOKUP(B298,Programacion!$A$8:$S$1048576,18,FALSE))</f>
        <v>#N/A</v>
      </c>
      <c r="AG298" t="e">
        <f>IF(AND(HOUR(O298)&gt;=1,HOUR(O298)&lt;=13),VLOOKUP(B298,Programacion!$A$8:$S$1048576,17,FALSE),VLOOKUP(B298,Programacion!$A$8:$S$1048576,19,FALSE))</f>
        <v>#N/A</v>
      </c>
    </row>
    <row r="299" spans="1:33" x14ac:dyDescent="0.25">
      <c r="A299" s="33" t="s">
        <v>186</v>
      </c>
      <c r="B299" t="s">
        <v>477</v>
      </c>
      <c r="C299" t="s">
        <v>1361</v>
      </c>
      <c r="D299" t="s">
        <v>557</v>
      </c>
      <c r="E299" t="s">
        <v>558</v>
      </c>
      <c r="F299" t="s">
        <v>1386</v>
      </c>
      <c r="G299" t="s">
        <v>560</v>
      </c>
      <c r="H299" t="s">
        <v>561</v>
      </c>
      <c r="I299" t="s">
        <v>1387</v>
      </c>
      <c r="L299" t="s">
        <v>1111</v>
      </c>
      <c r="M299" t="s">
        <v>564</v>
      </c>
      <c r="N299" t="s">
        <v>573</v>
      </c>
      <c r="O299" t="s">
        <v>805</v>
      </c>
      <c r="P299" t="s">
        <v>1243</v>
      </c>
      <c r="Q299" t="s">
        <v>704</v>
      </c>
      <c r="R299" t="s">
        <v>704</v>
      </c>
      <c r="S299" t="s">
        <v>1259</v>
      </c>
      <c r="T299" t="s">
        <v>1388</v>
      </c>
      <c r="U299" t="s">
        <v>690</v>
      </c>
      <c r="V299" t="s">
        <v>1389</v>
      </c>
      <c r="W299" t="s">
        <v>645</v>
      </c>
      <c r="X299" t="s">
        <v>564</v>
      </c>
      <c r="Y299" t="s">
        <v>574</v>
      </c>
      <c r="Z299" t="s">
        <v>574</v>
      </c>
      <c r="AA299" t="s">
        <v>565</v>
      </c>
      <c r="AB299" t="s">
        <v>890</v>
      </c>
      <c r="AC299" t="s">
        <v>596</v>
      </c>
      <c r="AD299" t="s">
        <v>838</v>
      </c>
      <c r="AE299" t="s">
        <v>966</v>
      </c>
      <c r="AF299" t="e">
        <f>IF(AND(HOUR(O299)&gt;=1,HOUR(O299)&lt;=13),VLOOKUP(B299,Programacion!$A$8:$S$1048576,16,FALSE),VLOOKUP(B299,Programacion!$A$8:$S$1048576,18,FALSE))</f>
        <v>#N/A</v>
      </c>
      <c r="AG299" t="e">
        <f>IF(AND(HOUR(O299)&gt;=1,HOUR(O299)&lt;=13),VLOOKUP(B299,Programacion!$A$8:$S$1048576,17,FALSE),VLOOKUP(B299,Programacion!$A$8:$S$1048576,19,FALSE))</f>
        <v>#N/A</v>
      </c>
    </row>
    <row r="300" spans="1:33" x14ac:dyDescent="0.25">
      <c r="A300" s="33" t="s">
        <v>186</v>
      </c>
      <c r="B300" t="s">
        <v>477</v>
      </c>
      <c r="C300" t="s">
        <v>1361</v>
      </c>
      <c r="D300" t="s">
        <v>557</v>
      </c>
      <c r="E300" t="s">
        <v>558</v>
      </c>
      <c r="F300" t="s">
        <v>1386</v>
      </c>
      <c r="G300" t="s">
        <v>560</v>
      </c>
      <c r="H300" t="s">
        <v>561</v>
      </c>
      <c r="I300" t="s">
        <v>1387</v>
      </c>
      <c r="L300" t="s">
        <v>1111</v>
      </c>
      <c r="M300" t="s">
        <v>564</v>
      </c>
      <c r="N300" t="s">
        <v>573</v>
      </c>
      <c r="O300" t="s">
        <v>805</v>
      </c>
      <c r="P300" t="s">
        <v>1243</v>
      </c>
      <c r="Q300" t="s">
        <v>704</v>
      </c>
      <c r="R300" t="s">
        <v>704</v>
      </c>
      <c r="S300" t="s">
        <v>1259</v>
      </c>
      <c r="T300" t="s">
        <v>1388</v>
      </c>
      <c r="U300" t="s">
        <v>690</v>
      </c>
      <c r="V300" t="s">
        <v>1389</v>
      </c>
      <c r="W300" t="s">
        <v>645</v>
      </c>
      <c r="X300" t="s">
        <v>564</v>
      </c>
      <c r="Y300" t="s">
        <v>574</v>
      </c>
      <c r="Z300" t="s">
        <v>574</v>
      </c>
      <c r="AA300" t="s">
        <v>565</v>
      </c>
      <c r="AB300" t="s">
        <v>890</v>
      </c>
      <c r="AC300" t="s">
        <v>588</v>
      </c>
      <c r="AD300" t="s">
        <v>695</v>
      </c>
      <c r="AE300" t="s">
        <v>647</v>
      </c>
      <c r="AF300" t="e">
        <f>IF(AND(HOUR(O300)&gt;=1,HOUR(O300)&lt;=13),VLOOKUP(B300,Programacion!$A$8:$S$1048576,16,FALSE),VLOOKUP(B300,Programacion!$A$8:$S$1048576,18,FALSE))</f>
        <v>#N/A</v>
      </c>
      <c r="AG300" t="e">
        <f>IF(AND(HOUR(O300)&gt;=1,HOUR(O300)&lt;=13),VLOOKUP(B300,Programacion!$A$8:$S$1048576,17,FALSE),VLOOKUP(B300,Programacion!$A$8:$S$1048576,19,FALSE))</f>
        <v>#N/A</v>
      </c>
    </row>
    <row r="301" spans="1:33" x14ac:dyDescent="0.25">
      <c r="A301" s="33" t="s">
        <v>181</v>
      </c>
      <c r="B301" t="s">
        <v>506</v>
      </c>
      <c r="C301" t="s">
        <v>1390</v>
      </c>
      <c r="D301" t="s">
        <v>557</v>
      </c>
      <c r="E301" t="s">
        <v>558</v>
      </c>
      <c r="F301" t="s">
        <v>1391</v>
      </c>
      <c r="G301" t="s">
        <v>560</v>
      </c>
      <c r="H301" t="s">
        <v>561</v>
      </c>
      <c r="I301" t="s">
        <v>1392</v>
      </c>
      <c r="L301" t="s">
        <v>701</v>
      </c>
      <c r="M301" t="s">
        <v>564</v>
      </c>
      <c r="N301" t="s">
        <v>573</v>
      </c>
      <c r="O301" t="s">
        <v>631</v>
      </c>
      <c r="P301" t="s">
        <v>582</v>
      </c>
      <c r="Q301" t="s">
        <v>568</v>
      </c>
      <c r="R301" t="s">
        <v>568</v>
      </c>
      <c r="S301" t="s">
        <v>569</v>
      </c>
      <c r="T301" t="s">
        <v>1393</v>
      </c>
      <c r="U301" t="s">
        <v>1265</v>
      </c>
      <c r="V301" t="s">
        <v>1394</v>
      </c>
      <c r="W301" t="s">
        <v>564</v>
      </c>
      <c r="X301" t="s">
        <v>564</v>
      </c>
      <c r="Y301" t="s">
        <v>574</v>
      </c>
      <c r="Z301" t="s">
        <v>574</v>
      </c>
      <c r="AA301" t="s">
        <v>565</v>
      </c>
      <c r="AB301" t="s">
        <v>581</v>
      </c>
      <c r="AC301" t="s">
        <v>576</v>
      </c>
      <c r="AD301" t="s">
        <v>1107</v>
      </c>
      <c r="AE301" t="s">
        <v>1395</v>
      </c>
      <c r="AF301" t="e">
        <f>IF(AND(HOUR(O301)&gt;=1,HOUR(O301)&lt;=13),VLOOKUP(B301,Programacion!$A$8:$S$1048576,16,FALSE),VLOOKUP(B301,Programacion!$A$8:$S$1048576,18,FALSE))</f>
        <v>#REF!</v>
      </c>
      <c r="AG301" t="e">
        <f>IF(AND(HOUR(O301)&gt;=1,HOUR(O301)&lt;=13),VLOOKUP(B301,Programacion!$A$8:$S$1048576,17,FALSE),VLOOKUP(B301,Programacion!$A$8:$S$1048576,19,FALSE))</f>
        <v>#REF!</v>
      </c>
    </row>
    <row r="302" spans="1:33" x14ac:dyDescent="0.25">
      <c r="A302" s="33" t="s">
        <v>181</v>
      </c>
      <c r="B302" t="s">
        <v>506</v>
      </c>
      <c r="C302" t="s">
        <v>1390</v>
      </c>
      <c r="D302" t="s">
        <v>557</v>
      </c>
      <c r="E302" t="s">
        <v>558</v>
      </c>
      <c r="F302" t="s">
        <v>1391</v>
      </c>
      <c r="G302" t="s">
        <v>560</v>
      </c>
      <c r="H302" t="s">
        <v>561</v>
      </c>
      <c r="I302" t="s">
        <v>1392</v>
      </c>
      <c r="L302" t="s">
        <v>701</v>
      </c>
      <c r="M302" t="s">
        <v>564</v>
      </c>
      <c r="N302" t="s">
        <v>573</v>
      </c>
      <c r="O302" t="s">
        <v>631</v>
      </c>
      <c r="P302" t="s">
        <v>582</v>
      </c>
      <c r="Q302" t="s">
        <v>568</v>
      </c>
      <c r="R302" t="s">
        <v>568</v>
      </c>
      <c r="S302" t="s">
        <v>569</v>
      </c>
      <c r="T302" t="s">
        <v>998</v>
      </c>
      <c r="U302" t="s">
        <v>1396</v>
      </c>
      <c r="V302" t="s">
        <v>1397</v>
      </c>
      <c r="W302" t="s">
        <v>594</v>
      </c>
      <c r="X302" t="s">
        <v>564</v>
      </c>
      <c r="Y302" t="s">
        <v>574</v>
      </c>
      <c r="Z302" t="s">
        <v>574</v>
      </c>
      <c r="AA302" t="s">
        <v>565</v>
      </c>
      <c r="AB302" t="s">
        <v>969</v>
      </c>
      <c r="AC302" t="s">
        <v>576</v>
      </c>
      <c r="AD302" t="s">
        <v>599</v>
      </c>
      <c r="AE302" t="s">
        <v>663</v>
      </c>
      <c r="AF302" t="e">
        <f>IF(AND(HOUR(O302)&gt;=1,HOUR(O302)&lt;=13),VLOOKUP(B302,Programacion!$A$8:$S$1048576,16,FALSE),VLOOKUP(B302,Programacion!$A$8:$S$1048576,18,FALSE))</f>
        <v>#REF!</v>
      </c>
      <c r="AG302" t="e">
        <f>IF(AND(HOUR(O302)&gt;=1,HOUR(O302)&lt;=13),VLOOKUP(B302,Programacion!$A$8:$S$1048576,17,FALSE),VLOOKUP(B302,Programacion!$A$8:$S$1048576,19,FALSE))</f>
        <v>#REF!</v>
      </c>
    </row>
    <row r="303" spans="1:33" x14ac:dyDescent="0.25">
      <c r="A303" s="33" t="s">
        <v>181</v>
      </c>
      <c r="B303" t="s">
        <v>506</v>
      </c>
      <c r="C303" t="s">
        <v>1390</v>
      </c>
      <c r="D303" t="s">
        <v>557</v>
      </c>
      <c r="E303" t="s">
        <v>558</v>
      </c>
      <c r="F303" t="s">
        <v>1398</v>
      </c>
      <c r="G303" t="s">
        <v>560</v>
      </c>
      <c r="H303" t="s">
        <v>561</v>
      </c>
      <c r="I303" t="s">
        <v>1399</v>
      </c>
      <c r="L303" t="s">
        <v>972</v>
      </c>
      <c r="M303" t="s">
        <v>564</v>
      </c>
      <c r="N303" t="s">
        <v>573</v>
      </c>
      <c r="O303" t="s">
        <v>595</v>
      </c>
      <c r="P303" t="s">
        <v>605</v>
      </c>
      <c r="Q303" t="s">
        <v>568</v>
      </c>
      <c r="R303" t="s">
        <v>568</v>
      </c>
      <c r="S303" t="s">
        <v>569</v>
      </c>
      <c r="T303" t="s">
        <v>1400</v>
      </c>
      <c r="U303" t="s">
        <v>648</v>
      </c>
      <c r="V303" t="s">
        <v>1401</v>
      </c>
      <c r="W303" t="s">
        <v>586</v>
      </c>
      <c r="X303" t="s">
        <v>564</v>
      </c>
      <c r="Y303" t="s">
        <v>574</v>
      </c>
      <c r="Z303" t="s">
        <v>574</v>
      </c>
      <c r="AA303" t="s">
        <v>565</v>
      </c>
      <c r="AB303" t="s">
        <v>650</v>
      </c>
      <c r="AC303" t="s">
        <v>576</v>
      </c>
      <c r="AD303" t="s">
        <v>656</v>
      </c>
      <c r="AE303" t="s">
        <v>1402</v>
      </c>
      <c r="AF303" t="e">
        <f>IF(AND(HOUR(O303)&gt;=1,HOUR(O303)&lt;=13),VLOOKUP(B303,Programacion!$A$8:$S$1048576,16,FALSE),VLOOKUP(B303,Programacion!$A$8:$S$1048576,18,FALSE))</f>
        <v>#REF!</v>
      </c>
      <c r="AG303" t="e">
        <f>IF(AND(HOUR(O303)&gt;=1,HOUR(O303)&lt;=13),VLOOKUP(B303,Programacion!$A$8:$S$1048576,17,FALSE),VLOOKUP(B303,Programacion!$A$8:$S$1048576,19,FALSE))</f>
        <v>#REF!</v>
      </c>
    </row>
    <row r="304" spans="1:33" x14ac:dyDescent="0.25">
      <c r="A304" s="33" t="s">
        <v>181</v>
      </c>
      <c r="B304" t="s">
        <v>506</v>
      </c>
      <c r="C304" t="s">
        <v>1390</v>
      </c>
      <c r="D304" t="s">
        <v>557</v>
      </c>
      <c r="E304" t="s">
        <v>558</v>
      </c>
      <c r="F304" t="s">
        <v>1398</v>
      </c>
      <c r="G304" t="s">
        <v>560</v>
      </c>
      <c r="H304" t="s">
        <v>561</v>
      </c>
      <c r="I304" t="s">
        <v>1399</v>
      </c>
      <c r="L304" t="s">
        <v>972</v>
      </c>
      <c r="M304" t="s">
        <v>564</v>
      </c>
      <c r="N304" t="s">
        <v>573</v>
      </c>
      <c r="O304" t="s">
        <v>595</v>
      </c>
      <c r="P304" t="s">
        <v>605</v>
      </c>
      <c r="Q304" t="s">
        <v>568</v>
      </c>
      <c r="R304" t="s">
        <v>568</v>
      </c>
      <c r="S304" t="s">
        <v>569</v>
      </c>
      <c r="T304" t="s">
        <v>1400</v>
      </c>
      <c r="U304" t="s">
        <v>648</v>
      </c>
      <c r="V304" t="s">
        <v>1401</v>
      </c>
      <c r="W304" t="s">
        <v>586</v>
      </c>
      <c r="X304" t="s">
        <v>564</v>
      </c>
      <c r="Y304" t="s">
        <v>574</v>
      </c>
      <c r="Z304" t="s">
        <v>574</v>
      </c>
      <c r="AA304" t="s">
        <v>565</v>
      </c>
      <c r="AB304" t="s">
        <v>650</v>
      </c>
      <c r="AC304" t="s">
        <v>596</v>
      </c>
      <c r="AD304" t="s">
        <v>599</v>
      </c>
      <c r="AE304" t="s">
        <v>651</v>
      </c>
      <c r="AF304" t="e">
        <f>IF(AND(HOUR(O304)&gt;=1,HOUR(O304)&lt;=13),VLOOKUP(B304,Programacion!$A$8:$S$1048576,16,FALSE),VLOOKUP(B304,Programacion!$A$8:$S$1048576,18,FALSE))</f>
        <v>#REF!</v>
      </c>
      <c r="AG304" t="e">
        <f>IF(AND(HOUR(O304)&gt;=1,HOUR(O304)&lt;=13),VLOOKUP(B304,Programacion!$A$8:$S$1048576,17,FALSE),VLOOKUP(B304,Programacion!$A$8:$S$1048576,19,FALSE))</f>
        <v>#REF!</v>
      </c>
    </row>
    <row r="305" spans="1:33" x14ac:dyDescent="0.25">
      <c r="A305" s="33" t="s">
        <v>181</v>
      </c>
      <c r="B305" t="s">
        <v>506</v>
      </c>
      <c r="C305" t="s">
        <v>1390</v>
      </c>
      <c r="D305" t="s">
        <v>557</v>
      </c>
      <c r="E305" t="s">
        <v>558</v>
      </c>
      <c r="F305" t="s">
        <v>1398</v>
      </c>
      <c r="G305" t="s">
        <v>560</v>
      </c>
      <c r="H305" t="s">
        <v>561</v>
      </c>
      <c r="I305" t="s">
        <v>1399</v>
      </c>
      <c r="L305" t="s">
        <v>972</v>
      </c>
      <c r="M305" t="s">
        <v>564</v>
      </c>
      <c r="N305" t="s">
        <v>573</v>
      </c>
      <c r="O305" t="s">
        <v>595</v>
      </c>
      <c r="P305" t="s">
        <v>605</v>
      </c>
      <c r="Q305" t="s">
        <v>568</v>
      </c>
      <c r="R305" t="s">
        <v>568</v>
      </c>
      <c r="S305" t="s">
        <v>569</v>
      </c>
      <c r="T305" t="s">
        <v>1400</v>
      </c>
      <c r="U305" t="s">
        <v>648</v>
      </c>
      <c r="V305" t="s">
        <v>1401</v>
      </c>
      <c r="W305" t="s">
        <v>586</v>
      </c>
      <c r="X305" t="s">
        <v>564</v>
      </c>
      <c r="Y305" t="s">
        <v>574</v>
      </c>
      <c r="Z305" t="s">
        <v>574</v>
      </c>
      <c r="AA305" t="s">
        <v>565</v>
      </c>
      <c r="AB305" t="s">
        <v>650</v>
      </c>
      <c r="AC305" t="s">
        <v>588</v>
      </c>
      <c r="AD305" t="s">
        <v>599</v>
      </c>
      <c r="AE305" t="s">
        <v>600</v>
      </c>
      <c r="AF305" t="e">
        <f>IF(AND(HOUR(O305)&gt;=1,HOUR(O305)&lt;=13),VLOOKUP(B305,Programacion!$A$8:$S$1048576,16,FALSE),VLOOKUP(B305,Programacion!$A$8:$S$1048576,18,FALSE))</f>
        <v>#REF!</v>
      </c>
      <c r="AG305" t="e">
        <f>IF(AND(HOUR(O305)&gt;=1,HOUR(O305)&lt;=13),VLOOKUP(B305,Programacion!$A$8:$S$1048576,17,FALSE),VLOOKUP(B305,Programacion!$A$8:$S$1048576,19,FALSE))</f>
        <v>#REF!</v>
      </c>
    </row>
    <row r="306" spans="1:33" x14ac:dyDescent="0.25">
      <c r="A306" s="33" t="s">
        <v>181</v>
      </c>
      <c r="B306" t="s">
        <v>506</v>
      </c>
      <c r="C306" t="s">
        <v>1390</v>
      </c>
      <c r="D306" t="s">
        <v>557</v>
      </c>
      <c r="E306" t="s">
        <v>558</v>
      </c>
      <c r="F306" t="s">
        <v>1403</v>
      </c>
      <c r="G306" t="s">
        <v>560</v>
      </c>
      <c r="H306" t="s">
        <v>561</v>
      </c>
      <c r="I306" t="s">
        <v>1404</v>
      </c>
      <c r="L306" t="s">
        <v>603</v>
      </c>
      <c r="M306" t="s">
        <v>564</v>
      </c>
      <c r="N306" t="s">
        <v>573</v>
      </c>
      <c r="O306" t="s">
        <v>604</v>
      </c>
      <c r="P306" t="s">
        <v>738</v>
      </c>
      <c r="Q306" t="s">
        <v>568</v>
      </c>
      <c r="R306" t="s">
        <v>568</v>
      </c>
      <c r="S306" t="s">
        <v>569</v>
      </c>
      <c r="T306" t="s">
        <v>1405</v>
      </c>
      <c r="U306" t="s">
        <v>1406</v>
      </c>
      <c r="V306" t="s">
        <v>1407</v>
      </c>
      <c r="W306" t="s">
        <v>564</v>
      </c>
      <c r="X306" t="s">
        <v>564</v>
      </c>
      <c r="Y306" t="s">
        <v>574</v>
      </c>
      <c r="Z306" t="s">
        <v>574</v>
      </c>
      <c r="AA306" t="s">
        <v>565</v>
      </c>
      <c r="AB306" t="s">
        <v>1408</v>
      </c>
      <c r="AC306" t="s">
        <v>598</v>
      </c>
      <c r="AD306" t="s">
        <v>599</v>
      </c>
      <c r="AE306" t="s">
        <v>618</v>
      </c>
      <c r="AF306" t="str">
        <f>IF(AND(HOUR(O306)&gt;=1,HOUR(O306)&lt;=13),VLOOKUP(B306,Programacion!$A$8:$S$1048576,16,FALSE),VLOOKUP(B306,Programacion!$A$8:$S$1048576,18,FALSE))</f>
        <v xml:space="preserve">  1816</v>
      </c>
      <c r="AG306" t="str">
        <f>IF(AND(HOUR(O306)&gt;=1,HOUR(O306)&lt;=13),VLOOKUP(B306,Programacion!$A$8:$S$1048576,17,FALSE),VLOOKUP(B306,Programacion!$A$8:$S$1048576,19,FALSE))</f>
        <v>GB01</v>
      </c>
    </row>
    <row r="307" spans="1:33" x14ac:dyDescent="0.25">
      <c r="A307" s="33" t="s">
        <v>181</v>
      </c>
      <c r="B307" t="s">
        <v>506</v>
      </c>
      <c r="C307" t="s">
        <v>1390</v>
      </c>
      <c r="D307" t="s">
        <v>557</v>
      </c>
      <c r="E307" t="s">
        <v>558</v>
      </c>
      <c r="F307" t="s">
        <v>1403</v>
      </c>
      <c r="G307" t="s">
        <v>560</v>
      </c>
      <c r="H307" t="s">
        <v>561</v>
      </c>
      <c r="I307" t="s">
        <v>1404</v>
      </c>
      <c r="L307" t="s">
        <v>603</v>
      </c>
      <c r="M307" t="s">
        <v>564</v>
      </c>
      <c r="N307" t="s">
        <v>573</v>
      </c>
      <c r="O307" t="s">
        <v>604</v>
      </c>
      <c r="P307" t="s">
        <v>738</v>
      </c>
      <c r="Q307" t="s">
        <v>568</v>
      </c>
      <c r="R307" t="s">
        <v>568</v>
      </c>
      <c r="S307" t="s">
        <v>569</v>
      </c>
      <c r="T307" t="s">
        <v>1405</v>
      </c>
      <c r="U307" t="s">
        <v>1406</v>
      </c>
      <c r="V307" t="s">
        <v>1407</v>
      </c>
      <c r="W307" t="s">
        <v>564</v>
      </c>
      <c r="X307" t="s">
        <v>564</v>
      </c>
      <c r="Y307" t="s">
        <v>574</v>
      </c>
      <c r="Z307" t="s">
        <v>574</v>
      </c>
      <c r="AA307" t="s">
        <v>565</v>
      </c>
      <c r="AB307" t="s">
        <v>1408</v>
      </c>
      <c r="AC307" t="s">
        <v>596</v>
      </c>
      <c r="AD307" t="s">
        <v>599</v>
      </c>
      <c r="AE307" t="s">
        <v>600</v>
      </c>
      <c r="AF307" t="str">
        <f>IF(AND(HOUR(O307)&gt;=1,HOUR(O307)&lt;=13),VLOOKUP(B307,Programacion!$A$8:$S$1048576,16,FALSE),VLOOKUP(B307,Programacion!$A$8:$S$1048576,18,FALSE))</f>
        <v xml:space="preserve">  1816</v>
      </c>
      <c r="AG307" t="str">
        <f>IF(AND(HOUR(O307)&gt;=1,HOUR(O307)&lt;=13),VLOOKUP(B307,Programacion!$A$8:$S$1048576,17,FALSE),VLOOKUP(B307,Programacion!$A$8:$S$1048576,19,FALSE))</f>
        <v>GB01</v>
      </c>
    </row>
    <row r="308" spans="1:33" x14ac:dyDescent="0.25">
      <c r="A308" s="33" t="s">
        <v>181</v>
      </c>
      <c r="B308" t="s">
        <v>506</v>
      </c>
      <c r="C308" t="s">
        <v>1390</v>
      </c>
      <c r="D308" t="s">
        <v>557</v>
      </c>
      <c r="E308" t="s">
        <v>558</v>
      </c>
      <c r="F308" t="s">
        <v>1403</v>
      </c>
      <c r="G308" t="s">
        <v>560</v>
      </c>
      <c r="H308" t="s">
        <v>561</v>
      </c>
      <c r="I308" t="s">
        <v>1404</v>
      </c>
      <c r="L308" t="s">
        <v>603</v>
      </c>
      <c r="M308" t="s">
        <v>564</v>
      </c>
      <c r="N308" t="s">
        <v>573</v>
      </c>
      <c r="O308" t="s">
        <v>604</v>
      </c>
      <c r="P308" t="s">
        <v>738</v>
      </c>
      <c r="Q308" t="s">
        <v>568</v>
      </c>
      <c r="R308" t="s">
        <v>568</v>
      </c>
      <c r="S308" t="s">
        <v>569</v>
      </c>
      <c r="T308" t="s">
        <v>1409</v>
      </c>
      <c r="U308" t="s">
        <v>1070</v>
      </c>
      <c r="V308" t="s">
        <v>1410</v>
      </c>
      <c r="W308" t="s">
        <v>1072</v>
      </c>
      <c r="X308" t="s">
        <v>564</v>
      </c>
      <c r="Y308" t="s">
        <v>574</v>
      </c>
      <c r="Z308" t="s">
        <v>574</v>
      </c>
      <c r="AA308" t="s">
        <v>565</v>
      </c>
      <c r="AB308" t="s">
        <v>1073</v>
      </c>
      <c r="AC308" t="s">
        <v>596</v>
      </c>
      <c r="AD308" t="s">
        <v>589</v>
      </c>
      <c r="AE308" t="s">
        <v>637</v>
      </c>
      <c r="AF308" t="str">
        <f>IF(AND(HOUR(O308)&gt;=1,HOUR(O308)&lt;=13),VLOOKUP(B308,Programacion!$A$8:$S$1048576,16,FALSE),VLOOKUP(B308,Programacion!$A$8:$S$1048576,18,FALSE))</f>
        <v xml:space="preserve">  1816</v>
      </c>
      <c r="AG308" t="str">
        <f>IF(AND(HOUR(O308)&gt;=1,HOUR(O308)&lt;=13),VLOOKUP(B308,Programacion!$A$8:$S$1048576,17,FALSE),VLOOKUP(B308,Programacion!$A$8:$S$1048576,19,FALSE))</f>
        <v>GB01</v>
      </c>
    </row>
    <row r="309" spans="1:33" x14ac:dyDescent="0.25">
      <c r="A309" s="33" t="s">
        <v>181</v>
      </c>
      <c r="B309" t="s">
        <v>506</v>
      </c>
      <c r="C309" t="s">
        <v>1390</v>
      </c>
      <c r="D309" t="s">
        <v>557</v>
      </c>
      <c r="E309" t="s">
        <v>558</v>
      </c>
      <c r="F309" t="s">
        <v>1403</v>
      </c>
      <c r="G309" t="s">
        <v>560</v>
      </c>
      <c r="H309" t="s">
        <v>561</v>
      </c>
      <c r="I309" t="s">
        <v>1404</v>
      </c>
      <c r="L309" t="s">
        <v>603</v>
      </c>
      <c r="M309" t="s">
        <v>564</v>
      </c>
      <c r="N309" t="s">
        <v>573</v>
      </c>
      <c r="O309" t="s">
        <v>604</v>
      </c>
      <c r="P309" t="s">
        <v>738</v>
      </c>
      <c r="Q309" t="s">
        <v>568</v>
      </c>
      <c r="R309" t="s">
        <v>568</v>
      </c>
      <c r="S309" t="s">
        <v>569</v>
      </c>
      <c r="T309" t="s">
        <v>1409</v>
      </c>
      <c r="U309" t="s">
        <v>1070</v>
      </c>
      <c r="V309" t="s">
        <v>1410</v>
      </c>
      <c r="W309" t="s">
        <v>1072</v>
      </c>
      <c r="X309" t="s">
        <v>564</v>
      </c>
      <c r="Y309" t="s">
        <v>574</v>
      </c>
      <c r="Z309" t="s">
        <v>574</v>
      </c>
      <c r="AA309" t="s">
        <v>565</v>
      </c>
      <c r="AB309" t="s">
        <v>1073</v>
      </c>
      <c r="AC309" t="s">
        <v>598</v>
      </c>
      <c r="AD309" t="s">
        <v>599</v>
      </c>
      <c r="AE309" t="s">
        <v>647</v>
      </c>
      <c r="AF309" t="str">
        <f>IF(AND(HOUR(O309)&gt;=1,HOUR(O309)&lt;=13),VLOOKUP(B309,Programacion!$A$8:$S$1048576,16,FALSE),VLOOKUP(B309,Programacion!$A$8:$S$1048576,18,FALSE))</f>
        <v xml:space="preserve">  1816</v>
      </c>
      <c r="AG309" t="str">
        <f>IF(AND(HOUR(O309)&gt;=1,HOUR(O309)&lt;=13),VLOOKUP(B309,Programacion!$A$8:$S$1048576,17,FALSE),VLOOKUP(B309,Programacion!$A$8:$S$1048576,19,FALSE))</f>
        <v>GB01</v>
      </c>
    </row>
    <row r="310" spans="1:33" x14ac:dyDescent="0.25">
      <c r="A310" s="33" t="s">
        <v>181</v>
      </c>
      <c r="B310" t="s">
        <v>506</v>
      </c>
      <c r="C310" t="s">
        <v>1390</v>
      </c>
      <c r="D310" t="s">
        <v>557</v>
      </c>
      <c r="E310" t="s">
        <v>558</v>
      </c>
      <c r="F310" t="s">
        <v>1411</v>
      </c>
      <c r="G310" t="s">
        <v>560</v>
      </c>
      <c r="H310" t="s">
        <v>561</v>
      </c>
      <c r="I310" t="s">
        <v>1412</v>
      </c>
      <c r="L310" t="s">
        <v>1009</v>
      </c>
      <c r="M310" t="s">
        <v>564</v>
      </c>
      <c r="N310" t="s">
        <v>573</v>
      </c>
      <c r="O310" t="s">
        <v>1010</v>
      </c>
      <c r="P310" t="s">
        <v>703</v>
      </c>
      <c r="Q310" t="s">
        <v>568</v>
      </c>
      <c r="R310" t="s">
        <v>568</v>
      </c>
      <c r="S310" t="s">
        <v>569</v>
      </c>
      <c r="T310" t="s">
        <v>1413</v>
      </c>
      <c r="U310" t="s">
        <v>619</v>
      </c>
      <c r="V310" t="s">
        <v>1414</v>
      </c>
      <c r="W310" t="s">
        <v>586</v>
      </c>
      <c r="X310" t="s">
        <v>564</v>
      </c>
      <c r="Y310" t="s">
        <v>574</v>
      </c>
      <c r="Z310" t="s">
        <v>574</v>
      </c>
      <c r="AA310" t="s">
        <v>565</v>
      </c>
      <c r="AB310" t="s">
        <v>621</v>
      </c>
      <c r="AC310" t="s">
        <v>588</v>
      </c>
      <c r="AD310" t="s">
        <v>599</v>
      </c>
      <c r="AE310" t="s">
        <v>600</v>
      </c>
      <c r="AF310" t="str">
        <f>IF(AND(HOUR(O310)&gt;=1,HOUR(O310)&lt;=13),VLOOKUP(B310,Programacion!$A$8:$S$1048576,16,FALSE),VLOOKUP(B310,Programacion!$A$8:$S$1048576,18,FALSE))</f>
        <v xml:space="preserve">  1816</v>
      </c>
      <c r="AG310" t="str">
        <f>IF(AND(HOUR(O310)&gt;=1,HOUR(O310)&lt;=13),VLOOKUP(B310,Programacion!$A$8:$S$1048576,17,FALSE),VLOOKUP(B310,Programacion!$A$8:$S$1048576,19,FALSE))</f>
        <v>GB01</v>
      </c>
    </row>
    <row r="311" spans="1:33" x14ac:dyDescent="0.25">
      <c r="A311" s="33" t="s">
        <v>181</v>
      </c>
      <c r="B311" t="s">
        <v>506</v>
      </c>
      <c r="C311" t="s">
        <v>1390</v>
      </c>
      <c r="D311" t="s">
        <v>557</v>
      </c>
      <c r="E311" t="s">
        <v>558</v>
      </c>
      <c r="F311" t="s">
        <v>1411</v>
      </c>
      <c r="G311" t="s">
        <v>560</v>
      </c>
      <c r="H311" t="s">
        <v>561</v>
      </c>
      <c r="I311" t="s">
        <v>1412</v>
      </c>
      <c r="L311" t="s">
        <v>1009</v>
      </c>
      <c r="M311" t="s">
        <v>564</v>
      </c>
      <c r="N311" t="s">
        <v>573</v>
      </c>
      <c r="O311" t="s">
        <v>1010</v>
      </c>
      <c r="P311" t="s">
        <v>703</v>
      </c>
      <c r="Q311" t="s">
        <v>568</v>
      </c>
      <c r="R311" t="s">
        <v>568</v>
      </c>
      <c r="S311" t="s">
        <v>569</v>
      </c>
      <c r="T311" t="s">
        <v>1415</v>
      </c>
      <c r="U311" t="s">
        <v>807</v>
      </c>
      <c r="V311" t="s">
        <v>1416</v>
      </c>
      <c r="W311" t="s">
        <v>709</v>
      </c>
      <c r="X311" t="s">
        <v>564</v>
      </c>
      <c r="Y311" t="s">
        <v>574</v>
      </c>
      <c r="Z311" t="s">
        <v>574</v>
      </c>
      <c r="AA311" t="s">
        <v>565</v>
      </c>
      <c r="AB311" t="s">
        <v>809</v>
      </c>
      <c r="AC311" t="s">
        <v>596</v>
      </c>
      <c r="AD311" t="s">
        <v>599</v>
      </c>
      <c r="AE311" t="s">
        <v>663</v>
      </c>
      <c r="AF311" t="str">
        <f>IF(AND(HOUR(O311)&gt;=1,HOUR(O311)&lt;=13),VLOOKUP(B311,Programacion!$A$8:$S$1048576,16,FALSE),VLOOKUP(B311,Programacion!$A$8:$S$1048576,18,FALSE))</f>
        <v xml:space="preserve">  1816</v>
      </c>
      <c r="AG311" t="str">
        <f>IF(AND(HOUR(O311)&gt;=1,HOUR(O311)&lt;=13),VLOOKUP(B311,Programacion!$A$8:$S$1048576,17,FALSE),VLOOKUP(B311,Programacion!$A$8:$S$1048576,19,FALSE))</f>
        <v>GB01</v>
      </c>
    </row>
    <row r="312" spans="1:33" x14ac:dyDescent="0.25">
      <c r="A312" s="33" t="s">
        <v>181</v>
      </c>
      <c r="B312" t="s">
        <v>506</v>
      </c>
      <c r="C312" t="s">
        <v>1390</v>
      </c>
      <c r="D312" t="s">
        <v>557</v>
      </c>
      <c r="E312" t="s">
        <v>558</v>
      </c>
      <c r="F312" t="s">
        <v>1411</v>
      </c>
      <c r="G312" t="s">
        <v>560</v>
      </c>
      <c r="H312" t="s">
        <v>561</v>
      </c>
      <c r="I312" t="s">
        <v>1412</v>
      </c>
      <c r="L312" t="s">
        <v>1009</v>
      </c>
      <c r="M312" t="s">
        <v>564</v>
      </c>
      <c r="N312" t="s">
        <v>573</v>
      </c>
      <c r="O312" t="s">
        <v>1010</v>
      </c>
      <c r="P312" t="s">
        <v>703</v>
      </c>
      <c r="Q312" t="s">
        <v>568</v>
      </c>
      <c r="R312" t="s">
        <v>568</v>
      </c>
      <c r="S312" t="s">
        <v>569</v>
      </c>
      <c r="T312" t="s">
        <v>1415</v>
      </c>
      <c r="U312" t="s">
        <v>807</v>
      </c>
      <c r="V312" t="s">
        <v>1416</v>
      </c>
      <c r="W312" t="s">
        <v>709</v>
      </c>
      <c r="X312" t="s">
        <v>564</v>
      </c>
      <c r="Y312" t="s">
        <v>574</v>
      </c>
      <c r="Z312" t="s">
        <v>574</v>
      </c>
      <c r="AA312" t="s">
        <v>565</v>
      </c>
      <c r="AB312" t="s">
        <v>809</v>
      </c>
      <c r="AC312" t="s">
        <v>588</v>
      </c>
      <c r="AD312" t="s">
        <v>599</v>
      </c>
      <c r="AE312" t="s">
        <v>618</v>
      </c>
      <c r="AF312" t="str">
        <f>IF(AND(HOUR(O312)&gt;=1,HOUR(O312)&lt;=13),VLOOKUP(B312,Programacion!$A$8:$S$1048576,16,FALSE),VLOOKUP(B312,Programacion!$A$8:$S$1048576,18,FALSE))</f>
        <v xml:space="preserve">  1816</v>
      </c>
      <c r="AG312" t="str">
        <f>IF(AND(HOUR(O312)&gt;=1,HOUR(O312)&lt;=13),VLOOKUP(B312,Programacion!$A$8:$S$1048576,17,FALSE),VLOOKUP(B312,Programacion!$A$8:$S$1048576,19,FALSE))</f>
        <v>GB01</v>
      </c>
    </row>
    <row r="313" spans="1:33" x14ac:dyDescent="0.25">
      <c r="A313" s="33" t="s">
        <v>181</v>
      </c>
      <c r="B313" t="s">
        <v>506</v>
      </c>
      <c r="C313" t="s">
        <v>1390</v>
      </c>
      <c r="D313" t="s">
        <v>557</v>
      </c>
      <c r="E313" t="s">
        <v>558</v>
      </c>
      <c r="F313" t="s">
        <v>1411</v>
      </c>
      <c r="G313" t="s">
        <v>560</v>
      </c>
      <c r="H313" t="s">
        <v>561</v>
      </c>
      <c r="I313" t="s">
        <v>1412</v>
      </c>
      <c r="L313" t="s">
        <v>1009</v>
      </c>
      <c r="M313" t="s">
        <v>564</v>
      </c>
      <c r="N313" t="s">
        <v>573</v>
      </c>
      <c r="O313" t="s">
        <v>1010</v>
      </c>
      <c r="P313" t="s">
        <v>703</v>
      </c>
      <c r="Q313" t="s">
        <v>568</v>
      </c>
      <c r="R313" t="s">
        <v>568</v>
      </c>
      <c r="S313" t="s">
        <v>569</v>
      </c>
      <c r="T313" t="s">
        <v>1415</v>
      </c>
      <c r="U313" t="s">
        <v>807</v>
      </c>
      <c r="V313" t="s">
        <v>1416</v>
      </c>
      <c r="W313" t="s">
        <v>709</v>
      </c>
      <c r="X313" t="s">
        <v>564</v>
      </c>
      <c r="Y313" t="s">
        <v>574</v>
      </c>
      <c r="Z313" t="s">
        <v>574</v>
      </c>
      <c r="AA313" t="s">
        <v>565</v>
      </c>
      <c r="AB313" t="s">
        <v>809</v>
      </c>
      <c r="AC313" t="s">
        <v>598</v>
      </c>
      <c r="AD313" t="s">
        <v>589</v>
      </c>
      <c r="AE313" t="s">
        <v>748</v>
      </c>
      <c r="AF313" t="str">
        <f>IF(AND(HOUR(O313)&gt;=1,HOUR(O313)&lt;=13),VLOOKUP(B313,Programacion!$A$8:$S$1048576,16,FALSE),VLOOKUP(B313,Programacion!$A$8:$S$1048576,18,FALSE))</f>
        <v xml:space="preserve">  1816</v>
      </c>
      <c r="AG313" t="str">
        <f>IF(AND(HOUR(O313)&gt;=1,HOUR(O313)&lt;=13),VLOOKUP(B313,Programacion!$A$8:$S$1048576,17,FALSE),VLOOKUP(B313,Programacion!$A$8:$S$1048576,19,FALSE))</f>
        <v>GB01</v>
      </c>
    </row>
    <row r="314" spans="1:33" x14ac:dyDescent="0.25">
      <c r="A314" s="33" t="s">
        <v>50</v>
      </c>
      <c r="B314" t="s">
        <v>488</v>
      </c>
      <c r="C314" t="s">
        <v>51</v>
      </c>
      <c r="D314" t="s">
        <v>557</v>
      </c>
      <c r="E314" t="s">
        <v>558</v>
      </c>
      <c r="F314" t="s">
        <v>1417</v>
      </c>
      <c r="G314" t="s">
        <v>560</v>
      </c>
      <c r="H314" t="s">
        <v>561</v>
      </c>
      <c r="I314" t="s">
        <v>1418</v>
      </c>
      <c r="L314" t="s">
        <v>701</v>
      </c>
      <c r="M314" t="s">
        <v>564</v>
      </c>
      <c r="N314" t="s">
        <v>573</v>
      </c>
      <c r="O314" t="s">
        <v>631</v>
      </c>
      <c r="P314" t="s">
        <v>833</v>
      </c>
      <c r="Q314" t="s">
        <v>1419</v>
      </c>
      <c r="R314" t="s">
        <v>1419</v>
      </c>
      <c r="S314" t="s">
        <v>1420</v>
      </c>
      <c r="T314" t="s">
        <v>1273</v>
      </c>
      <c r="U314" t="s">
        <v>846</v>
      </c>
      <c r="V314" t="s">
        <v>1421</v>
      </c>
      <c r="W314" t="s">
        <v>837</v>
      </c>
      <c r="X314" t="s">
        <v>564</v>
      </c>
      <c r="Y314" t="s">
        <v>574</v>
      </c>
      <c r="Z314" t="s">
        <v>574</v>
      </c>
      <c r="AA314" t="s">
        <v>565</v>
      </c>
      <c r="AB314" t="s">
        <v>969</v>
      </c>
      <c r="AC314" t="s">
        <v>598</v>
      </c>
      <c r="AD314" t="s">
        <v>589</v>
      </c>
      <c r="AE314" t="s">
        <v>1039</v>
      </c>
      <c r="AF314" t="str">
        <f>IF(AND(HOUR(O314)&gt;=1,HOUR(O314)&lt;=13),VLOOKUP(B314,Programacion!$A$8:$S$1048576,16,FALSE),VLOOKUP(B314,Programacion!$A$8:$S$1048576,18,FALSE))</f>
        <v xml:space="preserve">  1163</v>
      </c>
      <c r="AG314" t="str">
        <f>IF(AND(HOUR(O314)&gt;=1,HOUR(O314)&lt;=13),VLOOKUP(B314,Programacion!$A$8:$S$1048576,17,FALSE),VLOOKUP(B314,Programacion!$A$8:$S$1048576,19,FALSE))</f>
        <v>GB01</v>
      </c>
    </row>
    <row r="315" spans="1:33" x14ac:dyDescent="0.25">
      <c r="A315" s="33" t="s">
        <v>50</v>
      </c>
      <c r="B315" t="s">
        <v>488</v>
      </c>
      <c r="C315" t="s">
        <v>51</v>
      </c>
      <c r="D315" t="s">
        <v>557</v>
      </c>
      <c r="E315" t="s">
        <v>558</v>
      </c>
      <c r="F315" t="s">
        <v>1417</v>
      </c>
      <c r="G315" t="s">
        <v>560</v>
      </c>
      <c r="H315" t="s">
        <v>561</v>
      </c>
      <c r="I315" t="s">
        <v>1418</v>
      </c>
      <c r="L315" t="s">
        <v>701</v>
      </c>
      <c r="M315" t="s">
        <v>564</v>
      </c>
      <c r="N315" t="s">
        <v>573</v>
      </c>
      <c r="O315" t="s">
        <v>631</v>
      </c>
      <c r="P315" t="s">
        <v>833</v>
      </c>
      <c r="Q315" t="s">
        <v>1419</v>
      </c>
      <c r="R315" t="s">
        <v>1419</v>
      </c>
      <c r="S315" t="s">
        <v>1420</v>
      </c>
      <c r="T315" t="s">
        <v>1273</v>
      </c>
      <c r="U315" t="s">
        <v>846</v>
      </c>
      <c r="V315" t="s">
        <v>1421</v>
      </c>
      <c r="W315" t="s">
        <v>837</v>
      </c>
      <c r="X315" t="s">
        <v>564</v>
      </c>
      <c r="Y315" t="s">
        <v>574</v>
      </c>
      <c r="Z315" t="s">
        <v>574</v>
      </c>
      <c r="AA315" t="s">
        <v>565</v>
      </c>
      <c r="AB315" t="s">
        <v>969</v>
      </c>
      <c r="AC315" t="s">
        <v>588</v>
      </c>
      <c r="AD315" t="s">
        <v>798</v>
      </c>
      <c r="AE315" t="s">
        <v>647</v>
      </c>
      <c r="AF315" t="str">
        <f>IF(AND(HOUR(O315)&gt;=1,HOUR(O315)&lt;=13),VLOOKUP(B315,Programacion!$A$8:$S$1048576,16,FALSE),VLOOKUP(B315,Programacion!$A$8:$S$1048576,18,FALSE))</f>
        <v xml:space="preserve">  1163</v>
      </c>
      <c r="AG315" t="str">
        <f>IF(AND(HOUR(O315)&gt;=1,HOUR(O315)&lt;=13),VLOOKUP(B315,Programacion!$A$8:$S$1048576,17,FALSE),VLOOKUP(B315,Programacion!$A$8:$S$1048576,19,FALSE))</f>
        <v>GB01</v>
      </c>
    </row>
    <row r="316" spans="1:33" x14ac:dyDescent="0.25">
      <c r="A316" s="33" t="s">
        <v>50</v>
      </c>
      <c r="B316" t="s">
        <v>488</v>
      </c>
      <c r="C316" t="s">
        <v>51</v>
      </c>
      <c r="D316" t="s">
        <v>557</v>
      </c>
      <c r="E316" t="s">
        <v>558</v>
      </c>
      <c r="F316" t="s">
        <v>1417</v>
      </c>
      <c r="G316" t="s">
        <v>560</v>
      </c>
      <c r="H316" t="s">
        <v>561</v>
      </c>
      <c r="I316" t="s">
        <v>1418</v>
      </c>
      <c r="L316" t="s">
        <v>701</v>
      </c>
      <c r="M316" t="s">
        <v>564</v>
      </c>
      <c r="N316" t="s">
        <v>573</v>
      </c>
      <c r="O316" t="s">
        <v>631</v>
      </c>
      <c r="P316" t="s">
        <v>833</v>
      </c>
      <c r="Q316" t="s">
        <v>1419</v>
      </c>
      <c r="R316" t="s">
        <v>1419</v>
      </c>
      <c r="S316" t="s">
        <v>1420</v>
      </c>
      <c r="T316" t="s">
        <v>1273</v>
      </c>
      <c r="U316" t="s">
        <v>846</v>
      </c>
      <c r="V316" t="s">
        <v>1421</v>
      </c>
      <c r="W316" t="s">
        <v>837</v>
      </c>
      <c r="X316" t="s">
        <v>564</v>
      </c>
      <c r="Y316" t="s">
        <v>574</v>
      </c>
      <c r="Z316" t="s">
        <v>574</v>
      </c>
      <c r="AA316" t="s">
        <v>565</v>
      </c>
      <c r="AB316" t="s">
        <v>969</v>
      </c>
      <c r="AC316" t="s">
        <v>576</v>
      </c>
      <c r="AD316" t="s">
        <v>757</v>
      </c>
      <c r="AE316" t="s">
        <v>1422</v>
      </c>
      <c r="AF316" t="str">
        <f>IF(AND(HOUR(O316)&gt;=1,HOUR(O316)&lt;=13),VLOOKUP(B316,Programacion!$A$8:$S$1048576,16,FALSE),VLOOKUP(B316,Programacion!$A$8:$S$1048576,18,FALSE))</f>
        <v xml:space="preserve">  1163</v>
      </c>
      <c r="AG316" t="str">
        <f>IF(AND(HOUR(O316)&gt;=1,HOUR(O316)&lt;=13),VLOOKUP(B316,Programacion!$A$8:$S$1048576,17,FALSE),VLOOKUP(B316,Programacion!$A$8:$S$1048576,19,FALSE))</f>
        <v>GB01</v>
      </c>
    </row>
    <row r="317" spans="1:33" x14ac:dyDescent="0.25">
      <c r="A317" s="33" t="s">
        <v>50</v>
      </c>
      <c r="B317" t="s">
        <v>488</v>
      </c>
      <c r="C317" t="s">
        <v>51</v>
      </c>
      <c r="D317" t="s">
        <v>557</v>
      </c>
      <c r="E317" t="s">
        <v>558</v>
      </c>
      <c r="F317" t="s">
        <v>1417</v>
      </c>
      <c r="G317" t="s">
        <v>560</v>
      </c>
      <c r="H317" t="s">
        <v>561</v>
      </c>
      <c r="I317" t="s">
        <v>1418</v>
      </c>
      <c r="L317" t="s">
        <v>701</v>
      </c>
      <c r="M317" t="s">
        <v>564</v>
      </c>
      <c r="N317" t="s">
        <v>573</v>
      </c>
      <c r="O317" t="s">
        <v>631</v>
      </c>
      <c r="P317" t="s">
        <v>833</v>
      </c>
      <c r="Q317" t="s">
        <v>1419</v>
      </c>
      <c r="R317" t="s">
        <v>1419</v>
      </c>
      <c r="S317" t="s">
        <v>1420</v>
      </c>
      <c r="T317" t="s">
        <v>1273</v>
      </c>
      <c r="U317" t="s">
        <v>846</v>
      </c>
      <c r="V317" t="s">
        <v>1421</v>
      </c>
      <c r="W317" t="s">
        <v>837</v>
      </c>
      <c r="X317" t="s">
        <v>564</v>
      </c>
      <c r="Y317" t="s">
        <v>574</v>
      </c>
      <c r="Z317" t="s">
        <v>574</v>
      </c>
      <c r="AA317" t="s">
        <v>565</v>
      </c>
      <c r="AB317" t="s">
        <v>969</v>
      </c>
      <c r="AC317" t="s">
        <v>596</v>
      </c>
      <c r="AD317" t="s">
        <v>781</v>
      </c>
      <c r="AE317" t="s">
        <v>997</v>
      </c>
      <c r="AF317" t="str">
        <f>IF(AND(HOUR(O317)&gt;=1,HOUR(O317)&lt;=13),VLOOKUP(B317,Programacion!$A$8:$S$1048576,16,FALSE),VLOOKUP(B317,Programacion!$A$8:$S$1048576,18,FALSE))</f>
        <v xml:space="preserve">  1163</v>
      </c>
      <c r="AG317" t="str">
        <f>IF(AND(HOUR(O317)&gt;=1,HOUR(O317)&lt;=13),VLOOKUP(B317,Programacion!$A$8:$S$1048576,17,FALSE),VLOOKUP(B317,Programacion!$A$8:$S$1048576,19,FALSE))</f>
        <v>GB01</v>
      </c>
    </row>
    <row r="318" spans="1:33" x14ac:dyDescent="0.25">
      <c r="A318" s="33" t="s">
        <v>50</v>
      </c>
      <c r="B318" t="s">
        <v>488</v>
      </c>
      <c r="C318" t="s">
        <v>51</v>
      </c>
      <c r="D318" t="s">
        <v>557</v>
      </c>
      <c r="E318" t="s">
        <v>558</v>
      </c>
      <c r="F318" t="s">
        <v>1423</v>
      </c>
      <c r="G318" t="s">
        <v>560</v>
      </c>
      <c r="H318" t="s">
        <v>561</v>
      </c>
      <c r="I318" t="s">
        <v>1424</v>
      </c>
      <c r="L318" t="s">
        <v>737</v>
      </c>
      <c r="M318" t="s">
        <v>564</v>
      </c>
      <c r="N318" t="s">
        <v>573</v>
      </c>
      <c r="O318" t="s">
        <v>609</v>
      </c>
      <c r="P318" t="s">
        <v>1425</v>
      </c>
      <c r="Q318" t="s">
        <v>1419</v>
      </c>
      <c r="R318" t="s">
        <v>1419</v>
      </c>
      <c r="S318" t="s">
        <v>1420</v>
      </c>
      <c r="T318" t="s">
        <v>1426</v>
      </c>
      <c r="U318" t="s">
        <v>1427</v>
      </c>
      <c r="V318" t="s">
        <v>1428</v>
      </c>
      <c r="W318" t="s">
        <v>564</v>
      </c>
      <c r="X318" t="s">
        <v>564</v>
      </c>
      <c r="Y318" t="s">
        <v>574</v>
      </c>
      <c r="Z318" t="s">
        <v>574</v>
      </c>
      <c r="AA318" t="s">
        <v>565</v>
      </c>
      <c r="AB318" t="s">
        <v>900</v>
      </c>
      <c r="AC318" t="s">
        <v>596</v>
      </c>
      <c r="AD318" t="s">
        <v>693</v>
      </c>
      <c r="AE318" t="s">
        <v>1429</v>
      </c>
      <c r="AF318" t="str">
        <f>IF(AND(HOUR(O318)&gt;=1,HOUR(O318)&lt;=13),VLOOKUP(B318,Programacion!$A$8:$S$1048576,16,FALSE),VLOOKUP(B318,Programacion!$A$8:$S$1048576,18,FALSE))</f>
        <v xml:space="preserve">  1473</v>
      </c>
      <c r="AG318" t="str">
        <f>IF(AND(HOUR(O318)&gt;=1,HOUR(O318)&lt;=13),VLOOKUP(B318,Programacion!$A$8:$S$1048576,17,FALSE),VLOOKUP(B318,Programacion!$A$8:$S$1048576,19,FALSE))</f>
        <v>GB01</v>
      </c>
    </row>
    <row r="319" spans="1:33" x14ac:dyDescent="0.25">
      <c r="A319" s="33" t="s">
        <v>50</v>
      </c>
      <c r="B319" t="s">
        <v>488</v>
      </c>
      <c r="C319" t="s">
        <v>51</v>
      </c>
      <c r="D319" t="s">
        <v>557</v>
      </c>
      <c r="E319" t="s">
        <v>558</v>
      </c>
      <c r="F319" t="s">
        <v>1423</v>
      </c>
      <c r="G319" t="s">
        <v>560</v>
      </c>
      <c r="H319" t="s">
        <v>561</v>
      </c>
      <c r="I319" t="s">
        <v>1424</v>
      </c>
      <c r="L319" t="s">
        <v>737</v>
      </c>
      <c r="M319" t="s">
        <v>564</v>
      </c>
      <c r="N319" t="s">
        <v>573</v>
      </c>
      <c r="O319" t="s">
        <v>609</v>
      </c>
      <c r="P319" t="s">
        <v>1425</v>
      </c>
      <c r="Q319" t="s">
        <v>1419</v>
      </c>
      <c r="R319" t="s">
        <v>1419</v>
      </c>
      <c r="S319" t="s">
        <v>1420</v>
      </c>
      <c r="T319" t="s">
        <v>1426</v>
      </c>
      <c r="U319" t="s">
        <v>1427</v>
      </c>
      <c r="V319" t="s">
        <v>1428</v>
      </c>
      <c r="W319" t="s">
        <v>564</v>
      </c>
      <c r="X319" t="s">
        <v>564</v>
      </c>
      <c r="Y319" t="s">
        <v>574</v>
      </c>
      <c r="Z319" t="s">
        <v>574</v>
      </c>
      <c r="AA319" t="s">
        <v>565</v>
      </c>
      <c r="AB319" t="s">
        <v>900</v>
      </c>
      <c r="AC319" t="s">
        <v>576</v>
      </c>
      <c r="AD319" t="s">
        <v>695</v>
      </c>
      <c r="AE319" t="s">
        <v>651</v>
      </c>
      <c r="AF319" t="str">
        <f>IF(AND(HOUR(O319)&gt;=1,HOUR(O319)&lt;=13),VLOOKUP(B319,Programacion!$A$8:$S$1048576,16,FALSE),VLOOKUP(B319,Programacion!$A$8:$S$1048576,18,FALSE))</f>
        <v xml:space="preserve">  1473</v>
      </c>
      <c r="AG319" t="str">
        <f>IF(AND(HOUR(O319)&gt;=1,HOUR(O319)&lt;=13),VLOOKUP(B319,Programacion!$A$8:$S$1048576,17,FALSE),VLOOKUP(B319,Programacion!$A$8:$S$1048576,19,FALSE))</f>
        <v>GB01</v>
      </c>
    </row>
    <row r="320" spans="1:33" x14ac:dyDescent="0.25">
      <c r="A320" s="33" t="s">
        <v>50</v>
      </c>
      <c r="B320" t="s">
        <v>488</v>
      </c>
      <c r="C320" t="s">
        <v>51</v>
      </c>
      <c r="D320" t="s">
        <v>557</v>
      </c>
      <c r="E320" t="s">
        <v>558</v>
      </c>
      <c r="F320" t="s">
        <v>1423</v>
      </c>
      <c r="G320" t="s">
        <v>560</v>
      </c>
      <c r="H320" t="s">
        <v>561</v>
      </c>
      <c r="I320" t="s">
        <v>1424</v>
      </c>
      <c r="L320" t="s">
        <v>737</v>
      </c>
      <c r="M320" t="s">
        <v>564</v>
      </c>
      <c r="N320" t="s">
        <v>573</v>
      </c>
      <c r="O320" t="s">
        <v>609</v>
      </c>
      <c r="P320" t="s">
        <v>1425</v>
      </c>
      <c r="Q320" t="s">
        <v>1419</v>
      </c>
      <c r="R320" t="s">
        <v>1419</v>
      </c>
      <c r="S320" t="s">
        <v>1420</v>
      </c>
      <c r="T320" t="s">
        <v>1430</v>
      </c>
      <c r="U320" t="s">
        <v>1431</v>
      </c>
      <c r="V320" t="s">
        <v>1432</v>
      </c>
      <c r="W320" t="s">
        <v>1433</v>
      </c>
      <c r="X320" t="s">
        <v>564</v>
      </c>
      <c r="Y320" t="s">
        <v>574</v>
      </c>
      <c r="Z320" t="s">
        <v>574</v>
      </c>
      <c r="AA320" t="s">
        <v>565</v>
      </c>
      <c r="AB320" t="s">
        <v>901</v>
      </c>
      <c r="AC320" t="s">
        <v>576</v>
      </c>
      <c r="AD320" t="s">
        <v>599</v>
      </c>
      <c r="AE320" t="s">
        <v>696</v>
      </c>
      <c r="AF320" t="str">
        <f>IF(AND(HOUR(O320)&gt;=1,HOUR(O320)&lt;=13),VLOOKUP(B320,Programacion!$A$8:$S$1048576,16,FALSE),VLOOKUP(B320,Programacion!$A$8:$S$1048576,18,FALSE))</f>
        <v xml:space="preserve">  1473</v>
      </c>
      <c r="AG320" t="str">
        <f>IF(AND(HOUR(O320)&gt;=1,HOUR(O320)&lt;=13),VLOOKUP(B320,Programacion!$A$8:$S$1048576,17,FALSE),VLOOKUP(B320,Programacion!$A$8:$S$1048576,19,FALSE))</f>
        <v>GB01</v>
      </c>
    </row>
    <row r="321" spans="1:33" x14ac:dyDescent="0.25">
      <c r="A321" s="33" t="s">
        <v>50</v>
      </c>
      <c r="B321" t="s">
        <v>488</v>
      </c>
      <c r="C321" t="s">
        <v>51</v>
      </c>
      <c r="D321" t="s">
        <v>557</v>
      </c>
      <c r="E321" t="s">
        <v>558</v>
      </c>
      <c r="F321" t="s">
        <v>1423</v>
      </c>
      <c r="G321" t="s">
        <v>560</v>
      </c>
      <c r="H321" t="s">
        <v>561</v>
      </c>
      <c r="I321" t="s">
        <v>1424</v>
      </c>
      <c r="L321" t="s">
        <v>737</v>
      </c>
      <c r="M321" t="s">
        <v>564</v>
      </c>
      <c r="N321" t="s">
        <v>573</v>
      </c>
      <c r="O321" t="s">
        <v>609</v>
      </c>
      <c r="P321" t="s">
        <v>1425</v>
      </c>
      <c r="Q321" t="s">
        <v>1419</v>
      </c>
      <c r="R321" t="s">
        <v>1419</v>
      </c>
      <c r="S321" t="s">
        <v>1420</v>
      </c>
      <c r="T321" t="s">
        <v>1430</v>
      </c>
      <c r="U321" t="s">
        <v>1431</v>
      </c>
      <c r="V321" t="s">
        <v>1432</v>
      </c>
      <c r="W321" t="s">
        <v>1433</v>
      </c>
      <c r="X321" t="s">
        <v>564</v>
      </c>
      <c r="Y321" t="s">
        <v>574</v>
      </c>
      <c r="Z321" t="s">
        <v>574</v>
      </c>
      <c r="AA321" t="s">
        <v>565</v>
      </c>
      <c r="AB321" t="s">
        <v>901</v>
      </c>
      <c r="AC321" t="s">
        <v>598</v>
      </c>
      <c r="AD321" t="s">
        <v>798</v>
      </c>
      <c r="AE321" t="s">
        <v>647</v>
      </c>
      <c r="AF321" t="str">
        <f>IF(AND(HOUR(O321)&gt;=1,HOUR(O321)&lt;=13),VLOOKUP(B321,Programacion!$A$8:$S$1048576,16,FALSE),VLOOKUP(B321,Programacion!$A$8:$S$1048576,18,FALSE))</f>
        <v xml:space="preserve">  1473</v>
      </c>
      <c r="AG321" t="str">
        <f>IF(AND(HOUR(O321)&gt;=1,HOUR(O321)&lt;=13),VLOOKUP(B321,Programacion!$A$8:$S$1048576,17,FALSE),VLOOKUP(B321,Programacion!$A$8:$S$1048576,19,FALSE))</f>
        <v>GB01</v>
      </c>
    </row>
    <row r="322" spans="1:33" x14ac:dyDescent="0.25">
      <c r="A322" s="33" t="s">
        <v>50</v>
      </c>
      <c r="B322" t="s">
        <v>488</v>
      </c>
      <c r="C322" t="s">
        <v>51</v>
      </c>
      <c r="D322" t="s">
        <v>557</v>
      </c>
      <c r="E322" t="s">
        <v>558</v>
      </c>
      <c r="F322" t="s">
        <v>1423</v>
      </c>
      <c r="G322" t="s">
        <v>560</v>
      </c>
      <c r="H322" t="s">
        <v>561</v>
      </c>
      <c r="I322" t="s">
        <v>1424</v>
      </c>
      <c r="L322" t="s">
        <v>737</v>
      </c>
      <c r="M322" t="s">
        <v>564</v>
      </c>
      <c r="N322" t="s">
        <v>573</v>
      </c>
      <c r="O322" t="s">
        <v>609</v>
      </c>
      <c r="P322" t="s">
        <v>1425</v>
      </c>
      <c r="Q322" t="s">
        <v>1419</v>
      </c>
      <c r="R322" t="s">
        <v>1419</v>
      </c>
      <c r="S322" t="s">
        <v>1420</v>
      </c>
      <c r="T322" t="s">
        <v>1430</v>
      </c>
      <c r="U322" t="s">
        <v>1431</v>
      </c>
      <c r="V322" t="s">
        <v>1432</v>
      </c>
      <c r="W322" t="s">
        <v>1433</v>
      </c>
      <c r="X322" t="s">
        <v>564</v>
      </c>
      <c r="Y322" t="s">
        <v>574</v>
      </c>
      <c r="Z322" t="s">
        <v>574</v>
      </c>
      <c r="AA322" t="s">
        <v>565</v>
      </c>
      <c r="AB322" t="s">
        <v>901</v>
      </c>
      <c r="AC322" t="s">
        <v>596</v>
      </c>
      <c r="AD322" t="s">
        <v>781</v>
      </c>
      <c r="AE322" t="s">
        <v>997</v>
      </c>
      <c r="AF322" t="str">
        <f>IF(AND(HOUR(O322)&gt;=1,HOUR(O322)&lt;=13),VLOOKUP(B322,Programacion!$A$8:$S$1048576,16,FALSE),VLOOKUP(B322,Programacion!$A$8:$S$1048576,18,FALSE))</f>
        <v xml:space="preserve">  1473</v>
      </c>
      <c r="AG322" t="str">
        <f>IF(AND(HOUR(O322)&gt;=1,HOUR(O322)&lt;=13),VLOOKUP(B322,Programacion!$A$8:$S$1048576,17,FALSE),VLOOKUP(B322,Programacion!$A$8:$S$1048576,19,FALSE))</f>
        <v>GB01</v>
      </c>
    </row>
    <row r="323" spans="1:33" x14ac:dyDescent="0.25">
      <c r="A323" s="33" t="s">
        <v>42</v>
      </c>
      <c r="B323" t="s">
        <v>493</v>
      </c>
      <c r="C323" t="s">
        <v>1434</v>
      </c>
      <c r="D323" t="s">
        <v>557</v>
      </c>
      <c r="E323" t="s">
        <v>558</v>
      </c>
      <c r="F323" t="s">
        <v>1435</v>
      </c>
      <c r="G323" t="s">
        <v>560</v>
      </c>
      <c r="H323" t="s">
        <v>561</v>
      </c>
      <c r="I323" t="s">
        <v>1436</v>
      </c>
      <c r="L323" t="s">
        <v>701</v>
      </c>
      <c r="M323" t="s">
        <v>564</v>
      </c>
      <c r="N323" t="s">
        <v>573</v>
      </c>
      <c r="O323" t="s">
        <v>631</v>
      </c>
      <c r="P323" t="s">
        <v>642</v>
      </c>
      <c r="Q323" t="s">
        <v>568</v>
      </c>
      <c r="R323" t="s">
        <v>568</v>
      </c>
      <c r="S323" t="s">
        <v>569</v>
      </c>
      <c r="T323" t="s">
        <v>1437</v>
      </c>
      <c r="U323" t="s">
        <v>814</v>
      </c>
      <c r="V323" t="s">
        <v>1438</v>
      </c>
      <c r="W323" t="s">
        <v>564</v>
      </c>
      <c r="X323" t="s">
        <v>564</v>
      </c>
      <c r="Y323" t="s">
        <v>574</v>
      </c>
      <c r="Z323" t="s">
        <v>574</v>
      </c>
      <c r="AA323" t="s">
        <v>565</v>
      </c>
      <c r="AB323" t="s">
        <v>580</v>
      </c>
      <c r="AC323" t="s">
        <v>596</v>
      </c>
      <c r="AD323" t="s">
        <v>589</v>
      </c>
      <c r="AE323" t="s">
        <v>694</v>
      </c>
      <c r="AF323" t="str">
        <f>IF(AND(HOUR(O323)&gt;=1,HOUR(O323)&lt;=13),VLOOKUP(B323,Programacion!$A$8:$S$1048576,16,FALSE),VLOOKUP(B323,Programacion!$A$8:$S$1048576,18,FALSE))</f>
        <v xml:space="preserve">  1407</v>
      </c>
      <c r="AG323" t="str">
        <f>IF(AND(HOUR(O323)&gt;=1,HOUR(O323)&lt;=13),VLOOKUP(B323,Programacion!$A$8:$S$1048576,17,FALSE),VLOOKUP(B323,Programacion!$A$8:$S$1048576,19,FALSE))</f>
        <v>GB01</v>
      </c>
    </row>
    <row r="324" spans="1:33" x14ac:dyDescent="0.25">
      <c r="A324" s="33" t="s">
        <v>42</v>
      </c>
      <c r="B324" t="s">
        <v>493</v>
      </c>
      <c r="C324" t="s">
        <v>1434</v>
      </c>
      <c r="D324" t="s">
        <v>557</v>
      </c>
      <c r="E324" t="s">
        <v>558</v>
      </c>
      <c r="F324" t="s">
        <v>1435</v>
      </c>
      <c r="G324" t="s">
        <v>560</v>
      </c>
      <c r="H324" t="s">
        <v>561</v>
      </c>
      <c r="I324" t="s">
        <v>1436</v>
      </c>
      <c r="L324" t="s">
        <v>701</v>
      </c>
      <c r="M324" t="s">
        <v>564</v>
      </c>
      <c r="N324" t="s">
        <v>573</v>
      </c>
      <c r="O324" t="s">
        <v>631</v>
      </c>
      <c r="P324" t="s">
        <v>642</v>
      </c>
      <c r="Q324" t="s">
        <v>568</v>
      </c>
      <c r="R324" t="s">
        <v>568</v>
      </c>
      <c r="S324" t="s">
        <v>569</v>
      </c>
      <c r="T324" t="s">
        <v>1439</v>
      </c>
      <c r="U324" t="s">
        <v>1365</v>
      </c>
      <c r="V324" t="s">
        <v>1440</v>
      </c>
      <c r="W324" t="s">
        <v>645</v>
      </c>
      <c r="X324" t="s">
        <v>564</v>
      </c>
      <c r="Y324" t="s">
        <v>574</v>
      </c>
      <c r="Z324" t="s">
        <v>574</v>
      </c>
      <c r="AA324" t="s">
        <v>565</v>
      </c>
      <c r="AB324" t="s">
        <v>581</v>
      </c>
      <c r="AC324" t="s">
        <v>596</v>
      </c>
      <c r="AD324" t="s">
        <v>589</v>
      </c>
      <c r="AE324" t="s">
        <v>1233</v>
      </c>
      <c r="AF324" t="str">
        <f>IF(AND(HOUR(O324)&gt;=1,HOUR(O324)&lt;=13),VLOOKUP(B324,Programacion!$A$8:$S$1048576,16,FALSE),VLOOKUP(B324,Programacion!$A$8:$S$1048576,18,FALSE))</f>
        <v xml:space="preserve">  1407</v>
      </c>
      <c r="AG324" t="str">
        <f>IF(AND(HOUR(O324)&gt;=1,HOUR(O324)&lt;=13),VLOOKUP(B324,Programacion!$A$8:$S$1048576,17,FALSE),VLOOKUP(B324,Programacion!$A$8:$S$1048576,19,FALSE))</f>
        <v>GB01</v>
      </c>
    </row>
    <row r="325" spans="1:33" x14ac:dyDescent="0.25">
      <c r="A325" s="33" t="s">
        <v>42</v>
      </c>
      <c r="B325" t="s">
        <v>493</v>
      </c>
      <c r="C325" t="s">
        <v>1434</v>
      </c>
      <c r="D325" t="s">
        <v>557</v>
      </c>
      <c r="E325" t="s">
        <v>558</v>
      </c>
      <c r="F325" t="s">
        <v>1435</v>
      </c>
      <c r="G325" t="s">
        <v>560</v>
      </c>
      <c r="H325" t="s">
        <v>561</v>
      </c>
      <c r="I325" t="s">
        <v>1436</v>
      </c>
      <c r="L325" t="s">
        <v>701</v>
      </c>
      <c r="M325" t="s">
        <v>564</v>
      </c>
      <c r="N325" t="s">
        <v>573</v>
      </c>
      <c r="O325" t="s">
        <v>631</v>
      </c>
      <c r="P325" t="s">
        <v>642</v>
      </c>
      <c r="Q325" t="s">
        <v>568</v>
      </c>
      <c r="R325" t="s">
        <v>568</v>
      </c>
      <c r="S325" t="s">
        <v>569</v>
      </c>
      <c r="T325" t="s">
        <v>1439</v>
      </c>
      <c r="U325" t="s">
        <v>1365</v>
      </c>
      <c r="V325" t="s">
        <v>1440</v>
      </c>
      <c r="W325" t="s">
        <v>645</v>
      </c>
      <c r="X325" t="s">
        <v>564</v>
      </c>
      <c r="Y325" t="s">
        <v>574</v>
      </c>
      <c r="Z325" t="s">
        <v>574</v>
      </c>
      <c r="AA325" t="s">
        <v>565</v>
      </c>
      <c r="AB325" t="s">
        <v>581</v>
      </c>
      <c r="AC325" t="s">
        <v>598</v>
      </c>
      <c r="AD325" t="s">
        <v>599</v>
      </c>
      <c r="AE325" t="s">
        <v>663</v>
      </c>
      <c r="AF325" t="str">
        <f>IF(AND(HOUR(O325)&gt;=1,HOUR(O325)&lt;=13),VLOOKUP(B325,Programacion!$A$8:$S$1048576,16,FALSE),VLOOKUP(B325,Programacion!$A$8:$S$1048576,18,FALSE))</f>
        <v xml:space="preserve">  1407</v>
      </c>
      <c r="AG325" t="str">
        <f>IF(AND(HOUR(O325)&gt;=1,HOUR(O325)&lt;=13),VLOOKUP(B325,Programacion!$A$8:$S$1048576,17,FALSE),VLOOKUP(B325,Programacion!$A$8:$S$1048576,19,FALSE))</f>
        <v>GB01</v>
      </c>
    </row>
    <row r="326" spans="1:33" x14ac:dyDescent="0.25">
      <c r="A326" s="33" t="s">
        <v>42</v>
      </c>
      <c r="B326" t="s">
        <v>493</v>
      </c>
      <c r="C326" t="s">
        <v>1434</v>
      </c>
      <c r="D326" t="s">
        <v>557</v>
      </c>
      <c r="E326" t="s">
        <v>558</v>
      </c>
      <c r="F326" t="s">
        <v>1441</v>
      </c>
      <c r="G326" t="s">
        <v>560</v>
      </c>
      <c r="H326" t="s">
        <v>561</v>
      </c>
      <c r="I326" t="s">
        <v>1442</v>
      </c>
      <c r="L326" t="s">
        <v>1173</v>
      </c>
      <c r="M326" t="s">
        <v>564</v>
      </c>
      <c r="N326" t="s">
        <v>573</v>
      </c>
      <c r="O326" t="s">
        <v>587</v>
      </c>
      <c r="P326" t="s">
        <v>605</v>
      </c>
      <c r="Q326" t="s">
        <v>568</v>
      </c>
      <c r="R326" t="s">
        <v>568</v>
      </c>
      <c r="S326" t="s">
        <v>569</v>
      </c>
      <c r="T326" t="s">
        <v>1443</v>
      </c>
      <c r="U326" t="s">
        <v>592</v>
      </c>
      <c r="V326" t="s">
        <v>1444</v>
      </c>
      <c r="W326" t="s">
        <v>564</v>
      </c>
      <c r="X326" t="s">
        <v>564</v>
      </c>
      <c r="Y326" t="s">
        <v>574</v>
      </c>
      <c r="Z326" t="s">
        <v>574</v>
      </c>
      <c r="AA326" t="s">
        <v>565</v>
      </c>
      <c r="AB326" t="s">
        <v>595</v>
      </c>
      <c r="AC326" t="s">
        <v>598</v>
      </c>
      <c r="AD326" t="s">
        <v>599</v>
      </c>
      <c r="AE326" t="s">
        <v>618</v>
      </c>
      <c r="AF326" t="str">
        <f>IF(AND(HOUR(O326)&gt;=1,HOUR(O326)&lt;=13),VLOOKUP(B326,Programacion!$A$8:$S$1048576,16,FALSE),VLOOKUP(B326,Programacion!$A$8:$S$1048576,18,FALSE))</f>
        <v xml:space="preserve">  1407</v>
      </c>
      <c r="AG326" t="str">
        <f>IF(AND(HOUR(O326)&gt;=1,HOUR(O326)&lt;=13),VLOOKUP(B326,Programacion!$A$8:$S$1048576,17,FALSE),VLOOKUP(B326,Programacion!$A$8:$S$1048576,19,FALSE))</f>
        <v>GB01</v>
      </c>
    </row>
    <row r="327" spans="1:33" x14ac:dyDescent="0.25">
      <c r="A327" s="33" t="s">
        <v>42</v>
      </c>
      <c r="B327" t="s">
        <v>493</v>
      </c>
      <c r="C327" t="s">
        <v>1434</v>
      </c>
      <c r="D327" t="s">
        <v>557</v>
      </c>
      <c r="E327" t="s">
        <v>558</v>
      </c>
      <c r="F327" t="s">
        <v>1441</v>
      </c>
      <c r="G327" t="s">
        <v>560</v>
      </c>
      <c r="H327" t="s">
        <v>561</v>
      </c>
      <c r="I327" t="s">
        <v>1442</v>
      </c>
      <c r="L327" t="s">
        <v>1173</v>
      </c>
      <c r="M327" t="s">
        <v>564</v>
      </c>
      <c r="N327" t="s">
        <v>573</v>
      </c>
      <c r="O327" t="s">
        <v>587</v>
      </c>
      <c r="P327" t="s">
        <v>605</v>
      </c>
      <c r="Q327" t="s">
        <v>568</v>
      </c>
      <c r="R327" t="s">
        <v>568</v>
      </c>
      <c r="S327" t="s">
        <v>569</v>
      </c>
      <c r="T327" t="s">
        <v>1443</v>
      </c>
      <c r="U327" t="s">
        <v>592</v>
      </c>
      <c r="V327" t="s">
        <v>1444</v>
      </c>
      <c r="W327" t="s">
        <v>564</v>
      </c>
      <c r="X327" t="s">
        <v>564</v>
      </c>
      <c r="Y327" t="s">
        <v>574</v>
      </c>
      <c r="Z327" t="s">
        <v>574</v>
      </c>
      <c r="AA327" t="s">
        <v>565</v>
      </c>
      <c r="AB327" t="s">
        <v>595</v>
      </c>
      <c r="AC327" t="s">
        <v>588</v>
      </c>
      <c r="AD327" t="s">
        <v>599</v>
      </c>
      <c r="AE327" t="s">
        <v>600</v>
      </c>
      <c r="AF327" t="str">
        <f>IF(AND(HOUR(O327)&gt;=1,HOUR(O327)&lt;=13),VLOOKUP(B327,Programacion!$A$8:$S$1048576,16,FALSE),VLOOKUP(B327,Programacion!$A$8:$S$1048576,18,FALSE))</f>
        <v xml:space="preserve">  1407</v>
      </c>
      <c r="AG327" t="str">
        <f>IF(AND(HOUR(O327)&gt;=1,HOUR(O327)&lt;=13),VLOOKUP(B327,Programacion!$A$8:$S$1048576,17,FALSE),VLOOKUP(B327,Programacion!$A$8:$S$1048576,19,FALSE))</f>
        <v>GB01</v>
      </c>
    </row>
    <row r="328" spans="1:33" x14ac:dyDescent="0.25">
      <c r="A328" s="33" t="s">
        <v>42</v>
      </c>
      <c r="B328" t="s">
        <v>493</v>
      </c>
      <c r="C328" t="s">
        <v>1434</v>
      </c>
      <c r="D328" t="s">
        <v>557</v>
      </c>
      <c r="E328" t="s">
        <v>558</v>
      </c>
      <c r="F328" t="s">
        <v>1441</v>
      </c>
      <c r="G328" t="s">
        <v>560</v>
      </c>
      <c r="H328" t="s">
        <v>561</v>
      </c>
      <c r="I328" t="s">
        <v>1442</v>
      </c>
      <c r="L328" t="s">
        <v>1173</v>
      </c>
      <c r="M328" t="s">
        <v>564</v>
      </c>
      <c r="N328" t="s">
        <v>573</v>
      </c>
      <c r="O328" t="s">
        <v>587</v>
      </c>
      <c r="P328" t="s">
        <v>605</v>
      </c>
      <c r="Q328" t="s">
        <v>568</v>
      </c>
      <c r="R328" t="s">
        <v>568</v>
      </c>
      <c r="S328" t="s">
        <v>569</v>
      </c>
      <c r="T328" t="s">
        <v>1443</v>
      </c>
      <c r="U328" t="s">
        <v>592</v>
      </c>
      <c r="V328" t="s">
        <v>1444</v>
      </c>
      <c r="W328" t="s">
        <v>564</v>
      </c>
      <c r="X328" t="s">
        <v>564</v>
      </c>
      <c r="Y328" t="s">
        <v>574</v>
      </c>
      <c r="Z328" t="s">
        <v>574</v>
      </c>
      <c r="AA328" t="s">
        <v>565</v>
      </c>
      <c r="AB328" t="s">
        <v>595</v>
      </c>
      <c r="AC328" t="s">
        <v>596</v>
      </c>
      <c r="AD328" t="s">
        <v>599</v>
      </c>
      <c r="AE328" t="s">
        <v>647</v>
      </c>
      <c r="AF328" t="str">
        <f>IF(AND(HOUR(O328)&gt;=1,HOUR(O328)&lt;=13),VLOOKUP(B328,Programacion!$A$8:$S$1048576,16,FALSE),VLOOKUP(B328,Programacion!$A$8:$S$1048576,18,FALSE))</f>
        <v xml:space="preserve">  1407</v>
      </c>
      <c r="AG328" t="str">
        <f>IF(AND(HOUR(O328)&gt;=1,HOUR(O328)&lt;=13),VLOOKUP(B328,Programacion!$A$8:$S$1048576,17,FALSE),VLOOKUP(B328,Programacion!$A$8:$S$1048576,19,FALSE))</f>
        <v>GB01</v>
      </c>
    </row>
    <row r="329" spans="1:33" x14ac:dyDescent="0.25">
      <c r="A329" s="33" t="s">
        <v>42</v>
      </c>
      <c r="B329" t="s">
        <v>493</v>
      </c>
      <c r="C329" t="s">
        <v>1434</v>
      </c>
      <c r="D329" t="s">
        <v>557</v>
      </c>
      <c r="E329" t="s">
        <v>558</v>
      </c>
      <c r="F329" t="s">
        <v>1441</v>
      </c>
      <c r="G329" t="s">
        <v>560</v>
      </c>
      <c r="H329" t="s">
        <v>561</v>
      </c>
      <c r="I329" t="s">
        <v>1442</v>
      </c>
      <c r="L329" t="s">
        <v>1173</v>
      </c>
      <c r="M329" t="s">
        <v>564</v>
      </c>
      <c r="N329" t="s">
        <v>573</v>
      </c>
      <c r="O329" t="s">
        <v>587</v>
      </c>
      <c r="P329" t="s">
        <v>605</v>
      </c>
      <c r="Q329" t="s">
        <v>568</v>
      </c>
      <c r="R329" t="s">
        <v>568</v>
      </c>
      <c r="S329" t="s">
        <v>569</v>
      </c>
      <c r="T329" t="s">
        <v>1445</v>
      </c>
      <c r="U329" t="s">
        <v>1446</v>
      </c>
      <c r="V329" t="s">
        <v>1447</v>
      </c>
      <c r="W329" t="s">
        <v>586</v>
      </c>
      <c r="X329" t="s">
        <v>564</v>
      </c>
      <c r="Y329" t="s">
        <v>574</v>
      </c>
      <c r="Z329" t="s">
        <v>574</v>
      </c>
      <c r="AA329" t="s">
        <v>565</v>
      </c>
      <c r="AB329" t="s">
        <v>1203</v>
      </c>
      <c r="AC329" t="s">
        <v>576</v>
      </c>
      <c r="AD329" t="s">
        <v>599</v>
      </c>
      <c r="AE329" t="s">
        <v>663</v>
      </c>
      <c r="AF329" t="str">
        <f>IF(AND(HOUR(O329)&gt;=1,HOUR(O329)&lt;=13),VLOOKUP(B329,Programacion!$A$8:$S$1048576,16,FALSE),VLOOKUP(B329,Programacion!$A$8:$S$1048576,18,FALSE))</f>
        <v xml:space="preserve">  1407</v>
      </c>
      <c r="AG329" t="str">
        <f>IF(AND(HOUR(O329)&gt;=1,HOUR(O329)&lt;=13),VLOOKUP(B329,Programacion!$A$8:$S$1048576,17,FALSE),VLOOKUP(B329,Programacion!$A$8:$S$1048576,19,FALSE))</f>
        <v>GB01</v>
      </c>
    </row>
    <row r="330" spans="1:33" x14ac:dyDescent="0.25">
      <c r="A330" s="33" t="s">
        <v>42</v>
      </c>
      <c r="B330" t="s">
        <v>493</v>
      </c>
      <c r="C330" t="s">
        <v>1434</v>
      </c>
      <c r="D330" t="s">
        <v>557</v>
      </c>
      <c r="E330" t="s">
        <v>558</v>
      </c>
      <c r="F330" t="s">
        <v>1441</v>
      </c>
      <c r="G330" t="s">
        <v>560</v>
      </c>
      <c r="H330" t="s">
        <v>561</v>
      </c>
      <c r="I330" t="s">
        <v>1442</v>
      </c>
      <c r="L330" t="s">
        <v>1173</v>
      </c>
      <c r="M330" t="s">
        <v>564</v>
      </c>
      <c r="N330" t="s">
        <v>573</v>
      </c>
      <c r="O330" t="s">
        <v>587</v>
      </c>
      <c r="P330" t="s">
        <v>605</v>
      </c>
      <c r="Q330" t="s">
        <v>568</v>
      </c>
      <c r="R330" t="s">
        <v>568</v>
      </c>
      <c r="S330" t="s">
        <v>569</v>
      </c>
      <c r="T330" t="s">
        <v>1445</v>
      </c>
      <c r="U330" t="s">
        <v>1446</v>
      </c>
      <c r="V330" t="s">
        <v>1447</v>
      </c>
      <c r="W330" t="s">
        <v>586</v>
      </c>
      <c r="X330" t="s">
        <v>564</v>
      </c>
      <c r="Y330" t="s">
        <v>574</v>
      </c>
      <c r="Z330" t="s">
        <v>574</v>
      </c>
      <c r="AA330" t="s">
        <v>565</v>
      </c>
      <c r="AB330" t="s">
        <v>1203</v>
      </c>
      <c r="AC330" t="s">
        <v>598</v>
      </c>
      <c r="AD330" t="s">
        <v>599</v>
      </c>
      <c r="AE330" t="s">
        <v>651</v>
      </c>
      <c r="AF330" t="str">
        <f>IF(AND(HOUR(O330)&gt;=1,HOUR(O330)&lt;=13),VLOOKUP(B330,Programacion!$A$8:$S$1048576,16,FALSE),VLOOKUP(B330,Programacion!$A$8:$S$1048576,18,FALSE))</f>
        <v xml:space="preserve">  1407</v>
      </c>
      <c r="AG330" t="str">
        <f>IF(AND(HOUR(O330)&gt;=1,HOUR(O330)&lt;=13),VLOOKUP(B330,Programacion!$A$8:$S$1048576,17,FALSE),VLOOKUP(B330,Programacion!$A$8:$S$1048576,19,FALSE))</f>
        <v>GB01</v>
      </c>
    </row>
    <row r="331" spans="1:33" x14ac:dyDescent="0.25">
      <c r="A331" s="33" t="s">
        <v>42</v>
      </c>
      <c r="B331" t="s">
        <v>493</v>
      </c>
      <c r="C331" t="s">
        <v>1434</v>
      </c>
      <c r="D331" t="s">
        <v>557</v>
      </c>
      <c r="E331" t="s">
        <v>558</v>
      </c>
      <c r="F331" t="s">
        <v>1448</v>
      </c>
      <c r="G331" t="s">
        <v>560</v>
      </c>
      <c r="H331" t="s">
        <v>561</v>
      </c>
      <c r="I331" t="s">
        <v>1449</v>
      </c>
      <c r="L331" t="s">
        <v>603</v>
      </c>
      <c r="M331" t="s">
        <v>564</v>
      </c>
      <c r="N331" t="s">
        <v>573</v>
      </c>
      <c r="O331" t="s">
        <v>604</v>
      </c>
      <c r="P331" t="s">
        <v>642</v>
      </c>
      <c r="Q331" t="s">
        <v>568</v>
      </c>
      <c r="R331" t="s">
        <v>568</v>
      </c>
      <c r="S331" t="s">
        <v>569</v>
      </c>
      <c r="T331" t="s">
        <v>1450</v>
      </c>
      <c r="U331" t="s">
        <v>1132</v>
      </c>
      <c r="V331" t="s">
        <v>1451</v>
      </c>
      <c r="W331" t="s">
        <v>564</v>
      </c>
      <c r="X331" t="s">
        <v>564</v>
      </c>
      <c r="Y331" t="s">
        <v>574</v>
      </c>
      <c r="Z331" t="s">
        <v>574</v>
      </c>
      <c r="AA331" t="s">
        <v>565</v>
      </c>
      <c r="AB331" t="s">
        <v>1134</v>
      </c>
      <c r="AC331" t="s">
        <v>598</v>
      </c>
      <c r="AD331" t="s">
        <v>599</v>
      </c>
      <c r="AE331" t="s">
        <v>618</v>
      </c>
      <c r="AF331" t="str">
        <f>IF(AND(HOUR(O331)&gt;=1,HOUR(O331)&lt;=13),VLOOKUP(B331,Programacion!$A$8:$S$1048576,16,FALSE),VLOOKUP(B331,Programacion!$A$8:$S$1048576,18,FALSE))</f>
        <v xml:space="preserve">  2129</v>
      </c>
      <c r="AG331" t="str">
        <f>IF(AND(HOUR(O331)&gt;=1,HOUR(O331)&lt;=13),VLOOKUP(B331,Programacion!$A$8:$S$1048576,17,FALSE),VLOOKUP(B331,Programacion!$A$8:$S$1048576,19,FALSE))</f>
        <v>GB01</v>
      </c>
    </row>
    <row r="332" spans="1:33" x14ac:dyDescent="0.25">
      <c r="A332" s="33" t="s">
        <v>42</v>
      </c>
      <c r="B332" t="s">
        <v>493</v>
      </c>
      <c r="C332" t="s">
        <v>1434</v>
      </c>
      <c r="D332" t="s">
        <v>557</v>
      </c>
      <c r="E332" t="s">
        <v>558</v>
      </c>
      <c r="F332" t="s">
        <v>1448</v>
      </c>
      <c r="G332" t="s">
        <v>560</v>
      </c>
      <c r="H332" t="s">
        <v>561</v>
      </c>
      <c r="I332" t="s">
        <v>1449</v>
      </c>
      <c r="L332" t="s">
        <v>603</v>
      </c>
      <c r="M332" t="s">
        <v>564</v>
      </c>
      <c r="N332" t="s">
        <v>573</v>
      </c>
      <c r="O332" t="s">
        <v>604</v>
      </c>
      <c r="P332" t="s">
        <v>642</v>
      </c>
      <c r="Q332" t="s">
        <v>568</v>
      </c>
      <c r="R332" t="s">
        <v>568</v>
      </c>
      <c r="S332" t="s">
        <v>569</v>
      </c>
      <c r="T332" t="s">
        <v>1450</v>
      </c>
      <c r="U332" t="s">
        <v>1132</v>
      </c>
      <c r="V332" t="s">
        <v>1451</v>
      </c>
      <c r="W332" t="s">
        <v>564</v>
      </c>
      <c r="X332" t="s">
        <v>564</v>
      </c>
      <c r="Y332" t="s">
        <v>574</v>
      </c>
      <c r="Z332" t="s">
        <v>574</v>
      </c>
      <c r="AA332" t="s">
        <v>565</v>
      </c>
      <c r="AB332" t="s">
        <v>1134</v>
      </c>
      <c r="AC332" t="s">
        <v>596</v>
      </c>
      <c r="AD332" t="s">
        <v>599</v>
      </c>
      <c r="AE332" t="s">
        <v>600</v>
      </c>
      <c r="AF332" t="str">
        <f>IF(AND(HOUR(O332)&gt;=1,HOUR(O332)&lt;=13),VLOOKUP(B332,Programacion!$A$8:$S$1048576,16,FALSE),VLOOKUP(B332,Programacion!$A$8:$S$1048576,18,FALSE))</f>
        <v xml:space="preserve">  2129</v>
      </c>
      <c r="AG332" t="str">
        <f>IF(AND(HOUR(O332)&gt;=1,HOUR(O332)&lt;=13),VLOOKUP(B332,Programacion!$A$8:$S$1048576,17,FALSE),VLOOKUP(B332,Programacion!$A$8:$S$1048576,19,FALSE))</f>
        <v>GB01</v>
      </c>
    </row>
    <row r="333" spans="1:33" x14ac:dyDescent="0.25">
      <c r="A333" s="33" t="s">
        <v>42</v>
      </c>
      <c r="B333" t="s">
        <v>493</v>
      </c>
      <c r="C333" t="s">
        <v>1434</v>
      </c>
      <c r="D333" t="s">
        <v>557</v>
      </c>
      <c r="E333" t="s">
        <v>558</v>
      </c>
      <c r="F333" t="s">
        <v>1448</v>
      </c>
      <c r="G333" t="s">
        <v>560</v>
      </c>
      <c r="H333" t="s">
        <v>561</v>
      </c>
      <c r="I333" t="s">
        <v>1449</v>
      </c>
      <c r="L333" t="s">
        <v>603</v>
      </c>
      <c r="M333" t="s">
        <v>564</v>
      </c>
      <c r="N333" t="s">
        <v>573</v>
      </c>
      <c r="O333" t="s">
        <v>604</v>
      </c>
      <c r="P333" t="s">
        <v>642</v>
      </c>
      <c r="Q333" t="s">
        <v>568</v>
      </c>
      <c r="R333" t="s">
        <v>568</v>
      </c>
      <c r="S333" t="s">
        <v>569</v>
      </c>
      <c r="T333" t="s">
        <v>1452</v>
      </c>
      <c r="U333" t="s">
        <v>1293</v>
      </c>
      <c r="V333" t="s">
        <v>1453</v>
      </c>
      <c r="W333" t="s">
        <v>594</v>
      </c>
      <c r="X333" t="s">
        <v>564</v>
      </c>
      <c r="Y333" t="s">
        <v>574</v>
      </c>
      <c r="Z333" t="s">
        <v>574</v>
      </c>
      <c r="AA333" t="s">
        <v>565</v>
      </c>
      <c r="AB333" t="s">
        <v>862</v>
      </c>
      <c r="AC333" t="s">
        <v>588</v>
      </c>
      <c r="AD333" t="s">
        <v>599</v>
      </c>
      <c r="AE333" t="s">
        <v>663</v>
      </c>
      <c r="AF333" t="str">
        <f>IF(AND(HOUR(O333)&gt;=1,HOUR(O333)&lt;=13),VLOOKUP(B333,Programacion!$A$8:$S$1048576,16,FALSE),VLOOKUP(B333,Programacion!$A$8:$S$1048576,18,FALSE))</f>
        <v xml:space="preserve">  2129</v>
      </c>
      <c r="AG333" t="str">
        <f>IF(AND(HOUR(O333)&gt;=1,HOUR(O333)&lt;=13),VLOOKUP(B333,Programacion!$A$8:$S$1048576,17,FALSE),VLOOKUP(B333,Programacion!$A$8:$S$1048576,19,FALSE))</f>
        <v>GB01</v>
      </c>
    </row>
    <row r="334" spans="1:33" x14ac:dyDescent="0.25">
      <c r="A334" s="33" t="s">
        <v>42</v>
      </c>
      <c r="B334" t="s">
        <v>493</v>
      </c>
      <c r="C334" t="s">
        <v>1434</v>
      </c>
      <c r="D334" t="s">
        <v>557</v>
      </c>
      <c r="E334" t="s">
        <v>558</v>
      </c>
      <c r="F334" t="s">
        <v>1448</v>
      </c>
      <c r="G334" t="s">
        <v>560</v>
      </c>
      <c r="H334" t="s">
        <v>561</v>
      </c>
      <c r="I334" t="s">
        <v>1449</v>
      </c>
      <c r="L334" t="s">
        <v>603</v>
      </c>
      <c r="M334" t="s">
        <v>564</v>
      </c>
      <c r="N334" t="s">
        <v>573</v>
      </c>
      <c r="O334" t="s">
        <v>604</v>
      </c>
      <c r="P334" t="s">
        <v>642</v>
      </c>
      <c r="Q334" t="s">
        <v>568</v>
      </c>
      <c r="R334" t="s">
        <v>568</v>
      </c>
      <c r="S334" t="s">
        <v>569</v>
      </c>
      <c r="T334" t="s">
        <v>1452</v>
      </c>
      <c r="U334" t="s">
        <v>1293</v>
      </c>
      <c r="V334" t="s">
        <v>1453</v>
      </c>
      <c r="W334" t="s">
        <v>594</v>
      </c>
      <c r="X334" t="s">
        <v>564</v>
      </c>
      <c r="Y334" t="s">
        <v>574</v>
      </c>
      <c r="Z334" t="s">
        <v>574</v>
      </c>
      <c r="AA334" t="s">
        <v>565</v>
      </c>
      <c r="AB334" t="s">
        <v>862</v>
      </c>
      <c r="AC334" t="s">
        <v>598</v>
      </c>
      <c r="AD334" t="s">
        <v>599</v>
      </c>
      <c r="AE334" t="s">
        <v>651</v>
      </c>
      <c r="AF334" t="str">
        <f>IF(AND(HOUR(O334)&gt;=1,HOUR(O334)&lt;=13),VLOOKUP(B334,Programacion!$A$8:$S$1048576,16,FALSE),VLOOKUP(B334,Programacion!$A$8:$S$1048576,18,FALSE))</f>
        <v xml:space="preserve">  2129</v>
      </c>
      <c r="AG334" t="str">
        <f>IF(AND(HOUR(O334)&gt;=1,HOUR(O334)&lt;=13),VLOOKUP(B334,Programacion!$A$8:$S$1048576,17,FALSE),VLOOKUP(B334,Programacion!$A$8:$S$1048576,19,FALSE))</f>
        <v>GB01</v>
      </c>
    </row>
    <row r="335" spans="1:33" x14ac:dyDescent="0.25">
      <c r="A335" s="33" t="s">
        <v>42</v>
      </c>
      <c r="B335" t="s">
        <v>493</v>
      </c>
      <c r="C335" t="s">
        <v>1434</v>
      </c>
      <c r="D335" t="s">
        <v>557</v>
      </c>
      <c r="E335" t="s">
        <v>558</v>
      </c>
      <c r="F335" t="s">
        <v>1448</v>
      </c>
      <c r="G335" t="s">
        <v>560</v>
      </c>
      <c r="H335" t="s">
        <v>561</v>
      </c>
      <c r="I335" t="s">
        <v>1449</v>
      </c>
      <c r="L335" t="s">
        <v>603</v>
      </c>
      <c r="M335" t="s">
        <v>564</v>
      </c>
      <c r="N335" t="s">
        <v>573</v>
      </c>
      <c r="O335" t="s">
        <v>604</v>
      </c>
      <c r="P335" t="s">
        <v>642</v>
      </c>
      <c r="Q335" t="s">
        <v>568</v>
      </c>
      <c r="R335" t="s">
        <v>568</v>
      </c>
      <c r="S335" t="s">
        <v>569</v>
      </c>
      <c r="T335" t="s">
        <v>1452</v>
      </c>
      <c r="U335" t="s">
        <v>1293</v>
      </c>
      <c r="V335" t="s">
        <v>1453</v>
      </c>
      <c r="W335" t="s">
        <v>594</v>
      </c>
      <c r="X335" t="s">
        <v>564</v>
      </c>
      <c r="Y335" t="s">
        <v>574</v>
      </c>
      <c r="Z335" t="s">
        <v>574</v>
      </c>
      <c r="AA335" t="s">
        <v>565</v>
      </c>
      <c r="AB335" t="s">
        <v>862</v>
      </c>
      <c r="AC335" t="s">
        <v>596</v>
      </c>
      <c r="AD335" t="s">
        <v>599</v>
      </c>
      <c r="AE335" t="s">
        <v>647</v>
      </c>
      <c r="AF335" t="str">
        <f>IF(AND(HOUR(O335)&gt;=1,HOUR(O335)&lt;=13),VLOOKUP(B335,Programacion!$A$8:$S$1048576,16,FALSE),VLOOKUP(B335,Programacion!$A$8:$S$1048576,18,FALSE))</f>
        <v xml:space="preserve">  2129</v>
      </c>
      <c r="AG335" t="str">
        <f>IF(AND(HOUR(O335)&gt;=1,HOUR(O335)&lt;=13),VLOOKUP(B335,Programacion!$A$8:$S$1048576,17,FALSE),VLOOKUP(B335,Programacion!$A$8:$S$1048576,19,FALSE))</f>
        <v>GB01</v>
      </c>
    </row>
    <row r="336" spans="1:33" x14ac:dyDescent="0.25">
      <c r="A336" s="33" t="s">
        <v>42</v>
      </c>
      <c r="B336" t="s">
        <v>493</v>
      </c>
      <c r="C336" t="s">
        <v>1434</v>
      </c>
      <c r="D336" t="s">
        <v>557</v>
      </c>
      <c r="E336" t="s">
        <v>558</v>
      </c>
      <c r="F336" t="s">
        <v>1454</v>
      </c>
      <c r="G336" t="s">
        <v>560</v>
      </c>
      <c r="H336" t="s">
        <v>561</v>
      </c>
      <c r="I336" t="s">
        <v>1455</v>
      </c>
      <c r="L336" t="s">
        <v>1138</v>
      </c>
      <c r="M336" t="s">
        <v>564</v>
      </c>
      <c r="N336" t="s">
        <v>573</v>
      </c>
      <c r="O336" t="s">
        <v>1111</v>
      </c>
      <c r="P336" t="s">
        <v>854</v>
      </c>
      <c r="Q336" t="s">
        <v>568</v>
      </c>
      <c r="R336" t="s">
        <v>568</v>
      </c>
      <c r="S336" t="s">
        <v>569</v>
      </c>
      <c r="T336" t="s">
        <v>1456</v>
      </c>
      <c r="U336" t="s">
        <v>866</v>
      </c>
      <c r="V336" t="s">
        <v>1457</v>
      </c>
      <c r="W336" t="s">
        <v>564</v>
      </c>
      <c r="X336" t="s">
        <v>564</v>
      </c>
      <c r="Y336" t="s">
        <v>574</v>
      </c>
      <c r="Z336" t="s">
        <v>574</v>
      </c>
      <c r="AA336" t="s">
        <v>565</v>
      </c>
      <c r="AB336" t="s">
        <v>868</v>
      </c>
      <c r="AC336" t="s">
        <v>596</v>
      </c>
      <c r="AD336" t="s">
        <v>599</v>
      </c>
      <c r="AE336" t="s">
        <v>663</v>
      </c>
      <c r="AF336" t="str">
        <f>IF(AND(HOUR(O336)&gt;=1,HOUR(O336)&lt;=13),VLOOKUP(B336,Programacion!$A$8:$S$1048576,16,FALSE),VLOOKUP(B336,Programacion!$A$8:$S$1048576,18,FALSE))</f>
        <v xml:space="preserve">  2129</v>
      </c>
      <c r="AG336" t="str">
        <f>IF(AND(HOUR(O336)&gt;=1,HOUR(O336)&lt;=13),VLOOKUP(B336,Programacion!$A$8:$S$1048576,17,FALSE),VLOOKUP(B336,Programacion!$A$8:$S$1048576,19,FALSE))</f>
        <v>GB01</v>
      </c>
    </row>
    <row r="337" spans="1:33" x14ac:dyDescent="0.25">
      <c r="A337" s="33" t="s">
        <v>42</v>
      </c>
      <c r="B337" t="s">
        <v>493</v>
      </c>
      <c r="C337" t="s">
        <v>1434</v>
      </c>
      <c r="D337" t="s">
        <v>557</v>
      </c>
      <c r="E337" t="s">
        <v>558</v>
      </c>
      <c r="F337" t="s">
        <v>1454</v>
      </c>
      <c r="G337" t="s">
        <v>560</v>
      </c>
      <c r="H337" t="s">
        <v>561</v>
      </c>
      <c r="I337" t="s">
        <v>1455</v>
      </c>
      <c r="L337" t="s">
        <v>1138</v>
      </c>
      <c r="M337" t="s">
        <v>564</v>
      </c>
      <c r="N337" t="s">
        <v>573</v>
      </c>
      <c r="O337" t="s">
        <v>1111</v>
      </c>
      <c r="P337" t="s">
        <v>854</v>
      </c>
      <c r="Q337" t="s">
        <v>568</v>
      </c>
      <c r="R337" t="s">
        <v>568</v>
      </c>
      <c r="S337" t="s">
        <v>569</v>
      </c>
      <c r="T337" t="s">
        <v>1456</v>
      </c>
      <c r="U337" t="s">
        <v>866</v>
      </c>
      <c r="V337" t="s">
        <v>1457</v>
      </c>
      <c r="W337" t="s">
        <v>564</v>
      </c>
      <c r="X337" t="s">
        <v>564</v>
      </c>
      <c r="Y337" t="s">
        <v>574</v>
      </c>
      <c r="Z337" t="s">
        <v>574</v>
      </c>
      <c r="AA337" t="s">
        <v>565</v>
      </c>
      <c r="AB337" t="s">
        <v>868</v>
      </c>
      <c r="AC337" t="s">
        <v>588</v>
      </c>
      <c r="AD337" t="s">
        <v>599</v>
      </c>
      <c r="AE337" t="s">
        <v>651</v>
      </c>
      <c r="AF337" t="str">
        <f>IF(AND(HOUR(O337)&gt;=1,HOUR(O337)&lt;=13),VLOOKUP(B337,Programacion!$A$8:$S$1048576,16,FALSE),VLOOKUP(B337,Programacion!$A$8:$S$1048576,18,FALSE))</f>
        <v xml:space="preserve">  2129</v>
      </c>
      <c r="AG337" t="str">
        <f>IF(AND(HOUR(O337)&gt;=1,HOUR(O337)&lt;=13),VLOOKUP(B337,Programacion!$A$8:$S$1048576,17,FALSE),VLOOKUP(B337,Programacion!$A$8:$S$1048576,19,FALSE))</f>
        <v>GB01</v>
      </c>
    </row>
    <row r="338" spans="1:33" x14ac:dyDescent="0.25">
      <c r="A338" s="33" t="s">
        <v>42</v>
      </c>
      <c r="B338" t="s">
        <v>493</v>
      </c>
      <c r="C338" t="s">
        <v>1434</v>
      </c>
      <c r="D338" t="s">
        <v>557</v>
      </c>
      <c r="E338" t="s">
        <v>558</v>
      </c>
      <c r="F338" t="s">
        <v>1454</v>
      </c>
      <c r="G338" t="s">
        <v>560</v>
      </c>
      <c r="H338" t="s">
        <v>561</v>
      </c>
      <c r="I338" t="s">
        <v>1455</v>
      </c>
      <c r="L338" t="s">
        <v>1138</v>
      </c>
      <c r="M338" t="s">
        <v>564</v>
      </c>
      <c r="N338" t="s">
        <v>573</v>
      </c>
      <c r="O338" t="s">
        <v>1111</v>
      </c>
      <c r="P338" t="s">
        <v>854</v>
      </c>
      <c r="Q338" t="s">
        <v>568</v>
      </c>
      <c r="R338" t="s">
        <v>568</v>
      </c>
      <c r="S338" t="s">
        <v>569</v>
      </c>
      <c r="T338" t="s">
        <v>1456</v>
      </c>
      <c r="U338" t="s">
        <v>866</v>
      </c>
      <c r="V338" t="s">
        <v>1457</v>
      </c>
      <c r="W338" t="s">
        <v>564</v>
      </c>
      <c r="X338" t="s">
        <v>564</v>
      </c>
      <c r="Y338" t="s">
        <v>574</v>
      </c>
      <c r="Z338" t="s">
        <v>574</v>
      </c>
      <c r="AA338" t="s">
        <v>565</v>
      </c>
      <c r="AB338" t="s">
        <v>868</v>
      </c>
      <c r="AC338" t="s">
        <v>598</v>
      </c>
      <c r="AD338" t="s">
        <v>599</v>
      </c>
      <c r="AE338" t="s">
        <v>600</v>
      </c>
      <c r="AF338" t="str">
        <f>IF(AND(HOUR(O338)&gt;=1,HOUR(O338)&lt;=13),VLOOKUP(B338,Programacion!$A$8:$S$1048576,16,FALSE),VLOOKUP(B338,Programacion!$A$8:$S$1048576,18,FALSE))</f>
        <v xml:space="preserve">  2129</v>
      </c>
      <c r="AG338" t="str">
        <f>IF(AND(HOUR(O338)&gt;=1,HOUR(O338)&lt;=13),VLOOKUP(B338,Programacion!$A$8:$S$1048576,17,FALSE),VLOOKUP(B338,Programacion!$A$8:$S$1048576,19,FALSE))</f>
        <v>GB01</v>
      </c>
    </row>
    <row r="339" spans="1:33" x14ac:dyDescent="0.25">
      <c r="A339" s="33" t="s">
        <v>42</v>
      </c>
      <c r="B339" t="s">
        <v>493</v>
      </c>
      <c r="C339" t="s">
        <v>1434</v>
      </c>
      <c r="D339" t="s">
        <v>557</v>
      </c>
      <c r="E339" t="s">
        <v>558</v>
      </c>
      <c r="F339" t="s">
        <v>1454</v>
      </c>
      <c r="G339" t="s">
        <v>560</v>
      </c>
      <c r="H339" t="s">
        <v>561</v>
      </c>
      <c r="I339" t="s">
        <v>1455</v>
      </c>
      <c r="L339" t="s">
        <v>1138</v>
      </c>
      <c r="M339" t="s">
        <v>564</v>
      </c>
      <c r="N339" t="s">
        <v>573</v>
      </c>
      <c r="O339" t="s">
        <v>1111</v>
      </c>
      <c r="P339" t="s">
        <v>854</v>
      </c>
      <c r="Q339" t="s">
        <v>568</v>
      </c>
      <c r="R339" t="s">
        <v>568</v>
      </c>
      <c r="S339" t="s">
        <v>569</v>
      </c>
      <c r="T339" t="s">
        <v>1456</v>
      </c>
      <c r="U339" t="s">
        <v>866</v>
      </c>
      <c r="V339" t="s">
        <v>1457</v>
      </c>
      <c r="W339" t="s">
        <v>564</v>
      </c>
      <c r="X339" t="s">
        <v>564</v>
      </c>
      <c r="Y339" t="s">
        <v>574</v>
      </c>
      <c r="Z339" t="s">
        <v>574</v>
      </c>
      <c r="AA339" t="s">
        <v>565</v>
      </c>
      <c r="AB339" t="s">
        <v>868</v>
      </c>
      <c r="AC339" t="s">
        <v>576</v>
      </c>
      <c r="AD339" t="s">
        <v>599</v>
      </c>
      <c r="AE339" t="s">
        <v>647</v>
      </c>
      <c r="AF339" t="str">
        <f>IF(AND(HOUR(O339)&gt;=1,HOUR(O339)&lt;=13),VLOOKUP(B339,Programacion!$A$8:$S$1048576,16,FALSE),VLOOKUP(B339,Programacion!$A$8:$S$1048576,18,FALSE))</f>
        <v xml:space="preserve">  2129</v>
      </c>
      <c r="AG339" t="str">
        <f>IF(AND(HOUR(O339)&gt;=1,HOUR(O339)&lt;=13),VLOOKUP(B339,Programacion!$A$8:$S$1048576,17,FALSE),VLOOKUP(B339,Programacion!$A$8:$S$1048576,19,FALSE))</f>
        <v>GB01</v>
      </c>
    </row>
    <row r="340" spans="1:33" x14ac:dyDescent="0.25">
      <c r="A340" s="33" t="s">
        <v>42</v>
      </c>
      <c r="B340" t="s">
        <v>493</v>
      </c>
      <c r="C340" t="s">
        <v>1434</v>
      </c>
      <c r="D340" t="s">
        <v>557</v>
      </c>
      <c r="E340" t="s">
        <v>558</v>
      </c>
      <c r="F340" t="s">
        <v>1454</v>
      </c>
      <c r="G340" t="s">
        <v>560</v>
      </c>
      <c r="H340" t="s">
        <v>561</v>
      </c>
      <c r="I340" t="s">
        <v>1455</v>
      </c>
      <c r="L340" t="s">
        <v>1138</v>
      </c>
      <c r="M340" t="s">
        <v>564</v>
      </c>
      <c r="N340" t="s">
        <v>573</v>
      </c>
      <c r="O340" t="s">
        <v>1111</v>
      </c>
      <c r="P340" t="s">
        <v>854</v>
      </c>
      <c r="Q340" t="s">
        <v>568</v>
      </c>
      <c r="R340" t="s">
        <v>568</v>
      </c>
      <c r="S340" t="s">
        <v>569</v>
      </c>
      <c r="T340" t="s">
        <v>1458</v>
      </c>
      <c r="U340" t="s">
        <v>1336</v>
      </c>
      <c r="V340" t="s">
        <v>1459</v>
      </c>
      <c r="W340" t="s">
        <v>1072</v>
      </c>
      <c r="X340" t="s">
        <v>564</v>
      </c>
      <c r="Y340" t="s">
        <v>574</v>
      </c>
      <c r="Z340" t="s">
        <v>574</v>
      </c>
      <c r="AA340" t="s">
        <v>565</v>
      </c>
      <c r="AB340" t="s">
        <v>1338</v>
      </c>
      <c r="AC340" t="s">
        <v>596</v>
      </c>
      <c r="AD340" t="s">
        <v>599</v>
      </c>
      <c r="AE340" t="s">
        <v>618</v>
      </c>
      <c r="AF340" t="str">
        <f>IF(AND(HOUR(O340)&gt;=1,HOUR(O340)&lt;=13),VLOOKUP(B340,Programacion!$A$8:$S$1048576,16,FALSE),VLOOKUP(B340,Programacion!$A$8:$S$1048576,18,FALSE))</f>
        <v xml:space="preserve">  2129</v>
      </c>
      <c r="AG340" t="str">
        <f>IF(AND(HOUR(O340)&gt;=1,HOUR(O340)&lt;=13),VLOOKUP(B340,Programacion!$A$8:$S$1048576,17,FALSE),VLOOKUP(B340,Programacion!$A$8:$S$1048576,19,FALSE))</f>
        <v>GB01</v>
      </c>
    </row>
    <row r="341" spans="1:33" x14ac:dyDescent="0.25">
      <c r="A341" s="33" t="s">
        <v>1460</v>
      </c>
      <c r="B341" t="s">
        <v>508</v>
      </c>
      <c r="C341" t="s">
        <v>46</v>
      </c>
      <c r="D341" t="s">
        <v>557</v>
      </c>
      <c r="E341" t="s">
        <v>558</v>
      </c>
      <c r="F341" t="s">
        <v>1461</v>
      </c>
      <c r="G341" t="s">
        <v>560</v>
      </c>
      <c r="H341" t="s">
        <v>561</v>
      </c>
      <c r="I341" t="s">
        <v>1462</v>
      </c>
      <c r="L341" t="s">
        <v>701</v>
      </c>
      <c r="M341" t="s">
        <v>564</v>
      </c>
      <c r="N341" t="s">
        <v>573</v>
      </c>
      <c r="O341" t="s">
        <v>631</v>
      </c>
      <c r="P341" t="s">
        <v>1425</v>
      </c>
      <c r="Q341" t="s">
        <v>1419</v>
      </c>
      <c r="R341" t="s">
        <v>1419</v>
      </c>
      <c r="S341" t="s">
        <v>1463</v>
      </c>
      <c r="T341" t="s">
        <v>1426</v>
      </c>
      <c r="U341" t="s">
        <v>1464</v>
      </c>
      <c r="V341" t="s">
        <v>1465</v>
      </c>
      <c r="W341" t="s">
        <v>565</v>
      </c>
      <c r="X341" t="s">
        <v>564</v>
      </c>
      <c r="Y341" t="s">
        <v>574</v>
      </c>
      <c r="Z341" t="s">
        <v>574</v>
      </c>
      <c r="AA341" t="s">
        <v>565</v>
      </c>
      <c r="AB341" t="s">
        <v>1172</v>
      </c>
      <c r="AC341" t="s">
        <v>576</v>
      </c>
      <c r="AD341" t="s">
        <v>829</v>
      </c>
      <c r="AE341" t="s">
        <v>1466</v>
      </c>
      <c r="AF341" t="str">
        <f>IF(AND(HOUR(O341)&gt;=1,HOUR(O341)&lt;=13),VLOOKUP(B341,Programacion!$A$8:$S$1048576,16,FALSE),VLOOKUP(B341,Programacion!$A$8:$S$1048576,18,FALSE))</f>
        <v xml:space="preserve">   360</v>
      </c>
      <c r="AG341" t="str">
        <f>IF(AND(HOUR(O341)&gt;=1,HOUR(O341)&lt;=13),VLOOKUP(B341,Programacion!$A$8:$S$1048576,17,FALSE),VLOOKUP(B341,Programacion!$A$8:$S$1048576,19,FALSE))</f>
        <v>GB01</v>
      </c>
    </row>
    <row r="342" spans="1:33" x14ac:dyDescent="0.25">
      <c r="A342" s="33" t="s">
        <v>1460</v>
      </c>
      <c r="B342" t="s">
        <v>508</v>
      </c>
      <c r="C342" t="s">
        <v>46</v>
      </c>
      <c r="D342" t="s">
        <v>557</v>
      </c>
      <c r="E342" t="s">
        <v>558</v>
      </c>
      <c r="F342" t="s">
        <v>1461</v>
      </c>
      <c r="G342" t="s">
        <v>560</v>
      </c>
      <c r="H342" t="s">
        <v>561</v>
      </c>
      <c r="I342" t="s">
        <v>1462</v>
      </c>
      <c r="L342" t="s">
        <v>701</v>
      </c>
      <c r="M342" t="s">
        <v>564</v>
      </c>
      <c r="N342" t="s">
        <v>573</v>
      </c>
      <c r="O342" t="s">
        <v>631</v>
      </c>
      <c r="P342" t="s">
        <v>1425</v>
      </c>
      <c r="Q342" t="s">
        <v>1419</v>
      </c>
      <c r="R342" t="s">
        <v>1419</v>
      </c>
      <c r="S342" t="s">
        <v>1463</v>
      </c>
      <c r="T342" t="s">
        <v>1426</v>
      </c>
      <c r="U342" t="s">
        <v>1464</v>
      </c>
      <c r="V342" t="s">
        <v>1465</v>
      </c>
      <c r="W342" t="s">
        <v>565</v>
      </c>
      <c r="X342" t="s">
        <v>564</v>
      </c>
      <c r="Y342" t="s">
        <v>574</v>
      </c>
      <c r="Z342" t="s">
        <v>574</v>
      </c>
      <c r="AA342" t="s">
        <v>565</v>
      </c>
      <c r="AB342" t="s">
        <v>1172</v>
      </c>
      <c r="AC342" t="s">
        <v>598</v>
      </c>
      <c r="AD342" t="s">
        <v>695</v>
      </c>
      <c r="AE342" t="s">
        <v>647</v>
      </c>
      <c r="AF342" t="str">
        <f>IF(AND(HOUR(O342)&gt;=1,HOUR(O342)&lt;=13),VLOOKUP(B342,Programacion!$A$8:$S$1048576,16,FALSE),VLOOKUP(B342,Programacion!$A$8:$S$1048576,18,FALSE))</f>
        <v xml:space="preserve">   360</v>
      </c>
      <c r="AG342" t="str">
        <f>IF(AND(HOUR(O342)&gt;=1,HOUR(O342)&lt;=13),VLOOKUP(B342,Programacion!$A$8:$S$1048576,17,FALSE),VLOOKUP(B342,Programacion!$A$8:$S$1048576,19,FALSE))</f>
        <v>GB01</v>
      </c>
    </row>
    <row r="343" spans="1:33" x14ac:dyDescent="0.25">
      <c r="A343" s="33" t="s">
        <v>1460</v>
      </c>
      <c r="B343" t="s">
        <v>508</v>
      </c>
      <c r="C343" t="s">
        <v>46</v>
      </c>
      <c r="D343" t="s">
        <v>557</v>
      </c>
      <c r="E343" t="s">
        <v>558</v>
      </c>
      <c r="F343" t="s">
        <v>1461</v>
      </c>
      <c r="G343" t="s">
        <v>560</v>
      </c>
      <c r="H343" t="s">
        <v>561</v>
      </c>
      <c r="I343" t="s">
        <v>1462</v>
      </c>
      <c r="L343" t="s">
        <v>701</v>
      </c>
      <c r="M343" t="s">
        <v>564</v>
      </c>
      <c r="N343" t="s">
        <v>573</v>
      </c>
      <c r="O343" t="s">
        <v>631</v>
      </c>
      <c r="P343" t="s">
        <v>1425</v>
      </c>
      <c r="Q343" t="s">
        <v>1419</v>
      </c>
      <c r="R343" t="s">
        <v>1419</v>
      </c>
      <c r="S343" t="s">
        <v>1463</v>
      </c>
      <c r="T343" t="s">
        <v>1467</v>
      </c>
      <c r="U343" t="s">
        <v>1041</v>
      </c>
      <c r="V343" t="s">
        <v>1468</v>
      </c>
      <c r="W343" t="s">
        <v>837</v>
      </c>
      <c r="X343" t="s">
        <v>564</v>
      </c>
      <c r="Y343" t="s">
        <v>574</v>
      </c>
      <c r="Z343" t="s">
        <v>574</v>
      </c>
      <c r="AA343" t="s">
        <v>565</v>
      </c>
      <c r="AB343" t="s">
        <v>1469</v>
      </c>
      <c r="AC343" t="s">
        <v>598</v>
      </c>
      <c r="AD343" t="s">
        <v>599</v>
      </c>
      <c r="AE343" t="s">
        <v>651</v>
      </c>
      <c r="AF343" t="str">
        <f>IF(AND(HOUR(O343)&gt;=1,HOUR(O343)&lt;=13),VLOOKUP(B343,Programacion!$A$8:$S$1048576,16,FALSE),VLOOKUP(B343,Programacion!$A$8:$S$1048576,18,FALSE))</f>
        <v xml:space="preserve">   360</v>
      </c>
      <c r="AG343" t="str">
        <f>IF(AND(HOUR(O343)&gt;=1,HOUR(O343)&lt;=13),VLOOKUP(B343,Programacion!$A$8:$S$1048576,17,FALSE),VLOOKUP(B343,Programacion!$A$8:$S$1048576,19,FALSE))</f>
        <v>GB01</v>
      </c>
    </row>
    <row r="344" spans="1:33" x14ac:dyDescent="0.25">
      <c r="A344" s="33" t="s">
        <v>1460</v>
      </c>
      <c r="B344" t="s">
        <v>508</v>
      </c>
      <c r="C344" t="s">
        <v>46</v>
      </c>
      <c r="D344" t="s">
        <v>557</v>
      </c>
      <c r="E344" t="s">
        <v>558</v>
      </c>
      <c r="F344" t="s">
        <v>1461</v>
      </c>
      <c r="G344" t="s">
        <v>560</v>
      </c>
      <c r="H344" t="s">
        <v>561</v>
      </c>
      <c r="I344" t="s">
        <v>1462</v>
      </c>
      <c r="L344" t="s">
        <v>701</v>
      </c>
      <c r="M344" t="s">
        <v>564</v>
      </c>
      <c r="N344" t="s">
        <v>573</v>
      </c>
      <c r="O344" t="s">
        <v>631</v>
      </c>
      <c r="P344" t="s">
        <v>1425</v>
      </c>
      <c r="Q344" t="s">
        <v>1419</v>
      </c>
      <c r="R344" t="s">
        <v>1419</v>
      </c>
      <c r="S344" t="s">
        <v>1463</v>
      </c>
      <c r="T344" t="s">
        <v>1467</v>
      </c>
      <c r="U344" t="s">
        <v>1041</v>
      </c>
      <c r="V344" t="s">
        <v>1468</v>
      </c>
      <c r="W344" t="s">
        <v>837</v>
      </c>
      <c r="X344" t="s">
        <v>564</v>
      </c>
      <c r="Y344" t="s">
        <v>574</v>
      </c>
      <c r="Z344" t="s">
        <v>574</v>
      </c>
      <c r="AA344" t="s">
        <v>565</v>
      </c>
      <c r="AB344" t="s">
        <v>1469</v>
      </c>
      <c r="AC344" t="s">
        <v>588</v>
      </c>
      <c r="AD344" t="s">
        <v>695</v>
      </c>
      <c r="AE344" t="s">
        <v>663</v>
      </c>
      <c r="AF344" t="str">
        <f>IF(AND(HOUR(O344)&gt;=1,HOUR(O344)&lt;=13),VLOOKUP(B344,Programacion!$A$8:$S$1048576,16,FALSE),VLOOKUP(B344,Programacion!$A$8:$S$1048576,18,FALSE))</f>
        <v xml:space="preserve">   360</v>
      </c>
      <c r="AG344" t="str">
        <f>IF(AND(HOUR(O344)&gt;=1,HOUR(O344)&lt;=13),VLOOKUP(B344,Programacion!$A$8:$S$1048576,17,FALSE),VLOOKUP(B344,Programacion!$A$8:$S$1048576,19,FALSE))</f>
        <v>GB01</v>
      </c>
    </row>
    <row r="345" spans="1:33" x14ac:dyDescent="0.25">
      <c r="A345" s="33" t="s">
        <v>1460</v>
      </c>
      <c r="B345" t="s">
        <v>508</v>
      </c>
      <c r="C345" t="s">
        <v>46</v>
      </c>
      <c r="D345" t="s">
        <v>557</v>
      </c>
      <c r="E345" t="s">
        <v>558</v>
      </c>
      <c r="F345" t="s">
        <v>1461</v>
      </c>
      <c r="G345" t="s">
        <v>560</v>
      </c>
      <c r="H345" t="s">
        <v>561</v>
      </c>
      <c r="I345" t="s">
        <v>1462</v>
      </c>
      <c r="L345" t="s">
        <v>701</v>
      </c>
      <c r="M345" t="s">
        <v>564</v>
      </c>
      <c r="N345" t="s">
        <v>573</v>
      </c>
      <c r="O345" t="s">
        <v>631</v>
      </c>
      <c r="P345" t="s">
        <v>1425</v>
      </c>
      <c r="Q345" t="s">
        <v>1419</v>
      </c>
      <c r="R345" t="s">
        <v>1419</v>
      </c>
      <c r="S345" t="s">
        <v>1463</v>
      </c>
      <c r="T345" t="s">
        <v>1467</v>
      </c>
      <c r="U345" t="s">
        <v>1041</v>
      </c>
      <c r="V345" t="s">
        <v>1468</v>
      </c>
      <c r="W345" t="s">
        <v>837</v>
      </c>
      <c r="X345" t="s">
        <v>564</v>
      </c>
      <c r="Y345" t="s">
        <v>574</v>
      </c>
      <c r="Z345" t="s">
        <v>574</v>
      </c>
      <c r="AA345" t="s">
        <v>565</v>
      </c>
      <c r="AB345" t="s">
        <v>1469</v>
      </c>
      <c r="AC345" t="s">
        <v>596</v>
      </c>
      <c r="AD345" t="s">
        <v>695</v>
      </c>
      <c r="AE345" t="s">
        <v>618</v>
      </c>
      <c r="AF345" t="str">
        <f>IF(AND(HOUR(O345)&gt;=1,HOUR(O345)&lt;=13),VLOOKUP(B345,Programacion!$A$8:$S$1048576,16,FALSE),VLOOKUP(B345,Programacion!$A$8:$S$1048576,18,FALSE))</f>
        <v xml:space="preserve">   360</v>
      </c>
      <c r="AG345" t="str">
        <f>IF(AND(HOUR(O345)&gt;=1,HOUR(O345)&lt;=13),VLOOKUP(B345,Programacion!$A$8:$S$1048576,17,FALSE),VLOOKUP(B345,Programacion!$A$8:$S$1048576,19,FALSE))</f>
        <v>GB01</v>
      </c>
    </row>
    <row r="346" spans="1:33" x14ac:dyDescent="0.25">
      <c r="A346" s="33" t="s">
        <v>1460</v>
      </c>
      <c r="B346" t="s">
        <v>508</v>
      </c>
      <c r="C346" t="s">
        <v>46</v>
      </c>
      <c r="D346" t="s">
        <v>557</v>
      </c>
      <c r="E346" t="s">
        <v>558</v>
      </c>
      <c r="F346" t="s">
        <v>1470</v>
      </c>
      <c r="G346" t="s">
        <v>560</v>
      </c>
      <c r="H346" t="s">
        <v>561</v>
      </c>
      <c r="I346" t="s">
        <v>1471</v>
      </c>
      <c r="L346" t="s">
        <v>737</v>
      </c>
      <c r="M346" t="s">
        <v>564</v>
      </c>
      <c r="N346" t="s">
        <v>573</v>
      </c>
      <c r="O346" t="s">
        <v>609</v>
      </c>
      <c r="P346" t="s">
        <v>864</v>
      </c>
      <c r="Q346" t="s">
        <v>1419</v>
      </c>
      <c r="R346" t="s">
        <v>1419</v>
      </c>
      <c r="S346" t="s">
        <v>1463</v>
      </c>
      <c r="T346" t="s">
        <v>1472</v>
      </c>
      <c r="U346" t="s">
        <v>1296</v>
      </c>
      <c r="V346" t="s">
        <v>1473</v>
      </c>
      <c r="W346" t="s">
        <v>945</v>
      </c>
      <c r="X346" t="s">
        <v>564</v>
      </c>
      <c r="Y346" t="s">
        <v>574</v>
      </c>
      <c r="Z346" t="s">
        <v>574</v>
      </c>
      <c r="AA346" t="s">
        <v>565</v>
      </c>
      <c r="AB346" t="s">
        <v>863</v>
      </c>
      <c r="AC346" t="s">
        <v>576</v>
      </c>
      <c r="AD346" t="s">
        <v>914</v>
      </c>
      <c r="AE346" t="s">
        <v>1474</v>
      </c>
      <c r="AF346" t="str">
        <f>IF(AND(HOUR(O346)&gt;=1,HOUR(O346)&lt;=13),VLOOKUP(B346,Programacion!$A$8:$S$1048576,16,FALSE),VLOOKUP(B346,Programacion!$A$8:$S$1048576,18,FALSE))</f>
        <v xml:space="preserve">    43</v>
      </c>
      <c r="AG346" t="str">
        <f>IF(AND(HOUR(O346)&gt;=1,HOUR(O346)&lt;=13),VLOOKUP(B346,Programacion!$A$8:$S$1048576,17,FALSE),VLOOKUP(B346,Programacion!$A$8:$S$1048576,19,FALSE))</f>
        <v>GB03</v>
      </c>
    </row>
    <row r="347" spans="1:33" x14ac:dyDescent="0.25">
      <c r="A347" s="33" t="s">
        <v>1460</v>
      </c>
      <c r="B347" t="s">
        <v>508</v>
      </c>
      <c r="C347" t="s">
        <v>46</v>
      </c>
      <c r="D347" t="s">
        <v>557</v>
      </c>
      <c r="E347" t="s">
        <v>558</v>
      </c>
      <c r="F347" t="s">
        <v>1470</v>
      </c>
      <c r="G347" t="s">
        <v>560</v>
      </c>
      <c r="H347" t="s">
        <v>561</v>
      </c>
      <c r="I347" t="s">
        <v>1471</v>
      </c>
      <c r="L347" t="s">
        <v>737</v>
      </c>
      <c r="M347" t="s">
        <v>564</v>
      </c>
      <c r="N347" t="s">
        <v>573</v>
      </c>
      <c r="O347" t="s">
        <v>609</v>
      </c>
      <c r="P347" t="s">
        <v>864</v>
      </c>
      <c r="Q347" t="s">
        <v>1419</v>
      </c>
      <c r="R347" t="s">
        <v>1419</v>
      </c>
      <c r="S347" t="s">
        <v>1463</v>
      </c>
      <c r="T347" t="s">
        <v>1472</v>
      </c>
      <c r="U347" t="s">
        <v>1296</v>
      </c>
      <c r="V347" t="s">
        <v>1473</v>
      </c>
      <c r="W347" t="s">
        <v>945</v>
      </c>
      <c r="X347" t="s">
        <v>564</v>
      </c>
      <c r="Y347" t="s">
        <v>574</v>
      </c>
      <c r="Z347" t="s">
        <v>574</v>
      </c>
      <c r="AA347" t="s">
        <v>565</v>
      </c>
      <c r="AB347" t="s">
        <v>863</v>
      </c>
      <c r="AC347" t="s">
        <v>588</v>
      </c>
      <c r="AD347" t="s">
        <v>798</v>
      </c>
      <c r="AE347" t="s">
        <v>696</v>
      </c>
      <c r="AF347" t="str">
        <f>IF(AND(HOUR(O347)&gt;=1,HOUR(O347)&lt;=13),VLOOKUP(B347,Programacion!$A$8:$S$1048576,16,FALSE),VLOOKUP(B347,Programacion!$A$8:$S$1048576,18,FALSE))</f>
        <v xml:space="preserve">    43</v>
      </c>
      <c r="AG347" t="str">
        <f>IF(AND(HOUR(O347)&gt;=1,HOUR(O347)&lt;=13),VLOOKUP(B347,Programacion!$A$8:$S$1048576,17,FALSE),VLOOKUP(B347,Programacion!$A$8:$S$1048576,19,FALSE))</f>
        <v>GB03</v>
      </c>
    </row>
    <row r="348" spans="1:33" x14ac:dyDescent="0.25">
      <c r="A348" s="33" t="s">
        <v>1460</v>
      </c>
      <c r="B348" t="s">
        <v>508</v>
      </c>
      <c r="C348" t="s">
        <v>46</v>
      </c>
      <c r="D348" t="s">
        <v>557</v>
      </c>
      <c r="E348" t="s">
        <v>558</v>
      </c>
      <c r="F348" t="s">
        <v>1470</v>
      </c>
      <c r="G348" t="s">
        <v>560</v>
      </c>
      <c r="H348" t="s">
        <v>561</v>
      </c>
      <c r="I348" t="s">
        <v>1471</v>
      </c>
      <c r="L348" t="s">
        <v>737</v>
      </c>
      <c r="M348" t="s">
        <v>564</v>
      </c>
      <c r="N348" t="s">
        <v>573</v>
      </c>
      <c r="O348" t="s">
        <v>609</v>
      </c>
      <c r="P348" t="s">
        <v>864</v>
      </c>
      <c r="Q348" t="s">
        <v>1419</v>
      </c>
      <c r="R348" t="s">
        <v>1419</v>
      </c>
      <c r="S348" t="s">
        <v>1463</v>
      </c>
      <c r="T348" t="s">
        <v>1472</v>
      </c>
      <c r="U348" t="s">
        <v>1296</v>
      </c>
      <c r="V348" t="s">
        <v>1473</v>
      </c>
      <c r="W348" t="s">
        <v>945</v>
      </c>
      <c r="X348" t="s">
        <v>564</v>
      </c>
      <c r="Y348" t="s">
        <v>574</v>
      </c>
      <c r="Z348" t="s">
        <v>574</v>
      </c>
      <c r="AA348" t="s">
        <v>565</v>
      </c>
      <c r="AB348" t="s">
        <v>863</v>
      </c>
      <c r="AC348" t="s">
        <v>598</v>
      </c>
      <c r="AD348" t="s">
        <v>695</v>
      </c>
      <c r="AE348" t="s">
        <v>647</v>
      </c>
      <c r="AF348" t="str">
        <f>IF(AND(HOUR(O348)&gt;=1,HOUR(O348)&lt;=13),VLOOKUP(B348,Programacion!$A$8:$S$1048576,16,FALSE),VLOOKUP(B348,Programacion!$A$8:$S$1048576,18,FALSE))</f>
        <v xml:space="preserve">    43</v>
      </c>
      <c r="AG348" t="str">
        <f>IF(AND(HOUR(O348)&gt;=1,HOUR(O348)&lt;=13),VLOOKUP(B348,Programacion!$A$8:$S$1048576,17,FALSE),VLOOKUP(B348,Programacion!$A$8:$S$1048576,19,FALSE))</f>
        <v>GB03</v>
      </c>
    </row>
    <row r="349" spans="1:33" x14ac:dyDescent="0.25">
      <c r="A349" s="33" t="s">
        <v>1460</v>
      </c>
      <c r="B349" t="s">
        <v>508</v>
      </c>
      <c r="C349" t="s">
        <v>46</v>
      </c>
      <c r="D349" t="s">
        <v>557</v>
      </c>
      <c r="E349" t="s">
        <v>558</v>
      </c>
      <c r="F349" t="s">
        <v>1470</v>
      </c>
      <c r="G349" t="s">
        <v>560</v>
      </c>
      <c r="H349" t="s">
        <v>561</v>
      </c>
      <c r="I349" t="s">
        <v>1471</v>
      </c>
      <c r="L349" t="s">
        <v>737</v>
      </c>
      <c r="M349" t="s">
        <v>564</v>
      </c>
      <c r="N349" t="s">
        <v>573</v>
      </c>
      <c r="O349" t="s">
        <v>609</v>
      </c>
      <c r="P349" t="s">
        <v>864</v>
      </c>
      <c r="Q349" t="s">
        <v>1419</v>
      </c>
      <c r="R349" t="s">
        <v>1419</v>
      </c>
      <c r="S349" t="s">
        <v>1463</v>
      </c>
      <c r="T349" t="s">
        <v>1472</v>
      </c>
      <c r="U349" t="s">
        <v>1296</v>
      </c>
      <c r="V349" t="s">
        <v>1473</v>
      </c>
      <c r="W349" t="s">
        <v>945</v>
      </c>
      <c r="X349" t="s">
        <v>564</v>
      </c>
      <c r="Y349" t="s">
        <v>574</v>
      </c>
      <c r="Z349" t="s">
        <v>574</v>
      </c>
      <c r="AA349" t="s">
        <v>565</v>
      </c>
      <c r="AB349" t="s">
        <v>863</v>
      </c>
      <c r="AC349" t="s">
        <v>596</v>
      </c>
      <c r="AD349" t="s">
        <v>695</v>
      </c>
      <c r="AE349" t="s">
        <v>618</v>
      </c>
      <c r="AF349" t="str">
        <f>IF(AND(HOUR(O349)&gt;=1,HOUR(O349)&lt;=13),VLOOKUP(B349,Programacion!$A$8:$S$1048576,16,FALSE),VLOOKUP(B349,Programacion!$A$8:$S$1048576,18,FALSE))</f>
        <v xml:space="preserve">    43</v>
      </c>
      <c r="AG349" t="str">
        <f>IF(AND(HOUR(O349)&gt;=1,HOUR(O349)&lt;=13),VLOOKUP(B349,Programacion!$A$8:$S$1048576,17,FALSE),VLOOKUP(B349,Programacion!$A$8:$S$1048576,19,FALSE))</f>
        <v>GB03</v>
      </c>
    </row>
    <row r="350" spans="1:33" x14ac:dyDescent="0.25">
      <c r="A350" s="33" t="s">
        <v>160</v>
      </c>
      <c r="B350" t="s">
        <v>516</v>
      </c>
      <c r="C350" t="s">
        <v>1475</v>
      </c>
      <c r="D350" t="s">
        <v>557</v>
      </c>
      <c r="E350" t="s">
        <v>558</v>
      </c>
      <c r="F350" t="s">
        <v>1476</v>
      </c>
      <c r="G350" t="s">
        <v>560</v>
      </c>
      <c r="H350" t="s">
        <v>561</v>
      </c>
      <c r="I350" t="s">
        <v>1477</v>
      </c>
      <c r="L350" t="s">
        <v>737</v>
      </c>
      <c r="M350" t="s">
        <v>564</v>
      </c>
      <c r="N350" t="s">
        <v>573</v>
      </c>
      <c r="O350" t="s">
        <v>609</v>
      </c>
      <c r="P350" t="s">
        <v>833</v>
      </c>
      <c r="Q350" t="s">
        <v>704</v>
      </c>
      <c r="R350" t="s">
        <v>704</v>
      </c>
      <c r="S350" t="s">
        <v>725</v>
      </c>
      <c r="T350" t="s">
        <v>1478</v>
      </c>
      <c r="U350" t="s">
        <v>835</v>
      </c>
      <c r="V350" t="s">
        <v>1479</v>
      </c>
      <c r="W350" t="s">
        <v>837</v>
      </c>
      <c r="X350" t="s">
        <v>564</v>
      </c>
      <c r="Y350" t="s">
        <v>574</v>
      </c>
      <c r="Z350" t="s">
        <v>574</v>
      </c>
      <c r="AA350" t="s">
        <v>565</v>
      </c>
      <c r="AB350" t="s">
        <v>617</v>
      </c>
      <c r="AC350" t="s">
        <v>576</v>
      </c>
      <c r="AD350" t="s">
        <v>599</v>
      </c>
      <c r="AE350" t="s">
        <v>600</v>
      </c>
      <c r="AF350" t="e">
        <f>IF(AND(HOUR(O350)&gt;=1,HOUR(O350)&lt;=13),VLOOKUP(B350,Programacion!$A$8:$S$1048576,16,FALSE),VLOOKUP(B350,Programacion!$A$8:$S$1048576,18,FALSE))</f>
        <v>#N/A</v>
      </c>
      <c r="AG350" t="e">
        <f>IF(AND(HOUR(O350)&gt;=1,HOUR(O350)&lt;=13),VLOOKUP(B350,Programacion!$A$8:$S$1048576,17,FALSE),VLOOKUP(B350,Programacion!$A$8:$S$1048576,19,FALSE))</f>
        <v>#N/A</v>
      </c>
    </row>
    <row r="351" spans="1:33" x14ac:dyDescent="0.25">
      <c r="A351" s="33" t="s">
        <v>160</v>
      </c>
      <c r="B351" t="s">
        <v>516</v>
      </c>
      <c r="C351" t="s">
        <v>1475</v>
      </c>
      <c r="D351" t="s">
        <v>557</v>
      </c>
      <c r="E351" t="s">
        <v>558</v>
      </c>
      <c r="F351" t="s">
        <v>1476</v>
      </c>
      <c r="G351" t="s">
        <v>560</v>
      </c>
      <c r="H351" t="s">
        <v>561</v>
      </c>
      <c r="I351" t="s">
        <v>1477</v>
      </c>
      <c r="L351" t="s">
        <v>737</v>
      </c>
      <c r="M351" t="s">
        <v>564</v>
      </c>
      <c r="N351" t="s">
        <v>573</v>
      </c>
      <c r="O351" t="s">
        <v>609</v>
      </c>
      <c r="P351" t="s">
        <v>833</v>
      </c>
      <c r="Q351" t="s">
        <v>704</v>
      </c>
      <c r="R351" t="s">
        <v>704</v>
      </c>
      <c r="S351" t="s">
        <v>725</v>
      </c>
      <c r="T351" t="s">
        <v>1478</v>
      </c>
      <c r="U351" t="s">
        <v>835</v>
      </c>
      <c r="V351" t="s">
        <v>1479</v>
      </c>
      <c r="W351" t="s">
        <v>837</v>
      </c>
      <c r="X351" t="s">
        <v>564</v>
      </c>
      <c r="Y351" t="s">
        <v>574</v>
      </c>
      <c r="Z351" t="s">
        <v>574</v>
      </c>
      <c r="AA351" t="s">
        <v>565</v>
      </c>
      <c r="AB351" t="s">
        <v>617</v>
      </c>
      <c r="AC351" t="s">
        <v>596</v>
      </c>
      <c r="AD351" t="s">
        <v>829</v>
      </c>
      <c r="AE351" t="s">
        <v>1480</v>
      </c>
      <c r="AF351" t="e">
        <f>IF(AND(HOUR(O351)&gt;=1,HOUR(O351)&lt;=13),VLOOKUP(B351,Programacion!$A$8:$S$1048576,16,FALSE),VLOOKUP(B351,Programacion!$A$8:$S$1048576,18,FALSE))</f>
        <v>#N/A</v>
      </c>
      <c r="AG351" t="e">
        <f>IF(AND(HOUR(O351)&gt;=1,HOUR(O351)&lt;=13),VLOOKUP(B351,Programacion!$A$8:$S$1048576,17,FALSE),VLOOKUP(B351,Programacion!$A$8:$S$1048576,19,FALSE))</f>
        <v>#N/A</v>
      </c>
    </row>
    <row r="352" spans="1:33" x14ac:dyDescent="0.25">
      <c r="A352" s="33" t="s">
        <v>160</v>
      </c>
      <c r="B352" t="s">
        <v>516</v>
      </c>
      <c r="C352" t="s">
        <v>1475</v>
      </c>
      <c r="D352" t="s">
        <v>557</v>
      </c>
      <c r="E352" t="s">
        <v>558</v>
      </c>
      <c r="F352" t="s">
        <v>1476</v>
      </c>
      <c r="G352" t="s">
        <v>560</v>
      </c>
      <c r="H352" t="s">
        <v>561</v>
      </c>
      <c r="I352" t="s">
        <v>1477</v>
      </c>
      <c r="L352" t="s">
        <v>737</v>
      </c>
      <c r="M352" t="s">
        <v>564</v>
      </c>
      <c r="N352" t="s">
        <v>573</v>
      </c>
      <c r="O352" t="s">
        <v>609</v>
      </c>
      <c r="P352" t="s">
        <v>833</v>
      </c>
      <c r="Q352" t="s">
        <v>704</v>
      </c>
      <c r="R352" t="s">
        <v>704</v>
      </c>
      <c r="S352" t="s">
        <v>725</v>
      </c>
      <c r="T352" t="s">
        <v>1478</v>
      </c>
      <c r="U352" t="s">
        <v>835</v>
      </c>
      <c r="V352" t="s">
        <v>1479</v>
      </c>
      <c r="W352" t="s">
        <v>837</v>
      </c>
      <c r="X352" t="s">
        <v>564</v>
      </c>
      <c r="Y352" t="s">
        <v>574</v>
      </c>
      <c r="Z352" t="s">
        <v>574</v>
      </c>
      <c r="AA352" t="s">
        <v>565</v>
      </c>
      <c r="AB352" t="s">
        <v>617</v>
      </c>
      <c r="AC352" t="s">
        <v>598</v>
      </c>
      <c r="AD352" t="s">
        <v>798</v>
      </c>
      <c r="AE352" t="s">
        <v>618</v>
      </c>
      <c r="AF352" t="e">
        <f>IF(AND(HOUR(O352)&gt;=1,HOUR(O352)&lt;=13),VLOOKUP(B352,Programacion!$A$8:$S$1048576,16,FALSE),VLOOKUP(B352,Programacion!$A$8:$S$1048576,18,FALSE))</f>
        <v>#N/A</v>
      </c>
      <c r="AG352" t="e">
        <f>IF(AND(HOUR(O352)&gt;=1,HOUR(O352)&lt;=13),VLOOKUP(B352,Programacion!$A$8:$S$1048576,17,FALSE),VLOOKUP(B352,Programacion!$A$8:$S$1048576,19,FALSE))</f>
        <v>#N/A</v>
      </c>
    </row>
    <row r="353" spans="1:33" x14ac:dyDescent="0.25">
      <c r="A353" s="33" t="s">
        <v>160</v>
      </c>
      <c r="B353" t="s">
        <v>516</v>
      </c>
      <c r="C353" t="s">
        <v>1475</v>
      </c>
      <c r="D353" t="s">
        <v>557</v>
      </c>
      <c r="E353" t="s">
        <v>558</v>
      </c>
      <c r="F353" t="s">
        <v>1476</v>
      </c>
      <c r="G353" t="s">
        <v>560</v>
      </c>
      <c r="H353" t="s">
        <v>561</v>
      </c>
      <c r="I353" t="s">
        <v>1477</v>
      </c>
      <c r="L353" t="s">
        <v>737</v>
      </c>
      <c r="M353" t="s">
        <v>564</v>
      </c>
      <c r="N353" t="s">
        <v>573</v>
      </c>
      <c r="O353" t="s">
        <v>609</v>
      </c>
      <c r="P353" t="s">
        <v>833</v>
      </c>
      <c r="Q353" t="s">
        <v>704</v>
      </c>
      <c r="R353" t="s">
        <v>704</v>
      </c>
      <c r="S353" t="s">
        <v>725</v>
      </c>
      <c r="T353" t="s">
        <v>1478</v>
      </c>
      <c r="U353" t="s">
        <v>835</v>
      </c>
      <c r="V353" t="s">
        <v>1479</v>
      </c>
      <c r="W353" t="s">
        <v>837</v>
      </c>
      <c r="X353" t="s">
        <v>564</v>
      </c>
      <c r="Y353" t="s">
        <v>574</v>
      </c>
      <c r="Z353" t="s">
        <v>574</v>
      </c>
      <c r="AA353" t="s">
        <v>565</v>
      </c>
      <c r="AB353" t="s">
        <v>617</v>
      </c>
      <c r="AC353" t="s">
        <v>588</v>
      </c>
      <c r="AD353" t="s">
        <v>742</v>
      </c>
      <c r="AE353" t="s">
        <v>663</v>
      </c>
      <c r="AF353" t="e">
        <f>IF(AND(HOUR(O353)&gt;=1,HOUR(O353)&lt;=13),VLOOKUP(B353,Programacion!$A$8:$S$1048576,16,FALSE),VLOOKUP(B353,Programacion!$A$8:$S$1048576,18,FALSE))</f>
        <v>#N/A</v>
      </c>
      <c r="AG353" t="e">
        <f>IF(AND(HOUR(O353)&gt;=1,HOUR(O353)&lt;=13),VLOOKUP(B353,Programacion!$A$8:$S$1048576,17,FALSE),VLOOKUP(B353,Programacion!$A$8:$S$1048576,19,FALSE))</f>
        <v>#N/A</v>
      </c>
    </row>
    <row r="354" spans="1:33" x14ac:dyDescent="0.25">
      <c r="A354" s="33" t="s">
        <v>189</v>
      </c>
      <c r="B354" t="s">
        <v>472</v>
      </c>
      <c r="C354" t="s">
        <v>1481</v>
      </c>
      <c r="D354" t="s">
        <v>557</v>
      </c>
      <c r="E354" t="s">
        <v>558</v>
      </c>
      <c r="F354" t="s">
        <v>1482</v>
      </c>
      <c r="G354" t="s">
        <v>560</v>
      </c>
      <c r="H354" t="s">
        <v>561</v>
      </c>
      <c r="I354" t="s">
        <v>1483</v>
      </c>
      <c r="L354" t="s">
        <v>737</v>
      </c>
      <c r="M354" t="s">
        <v>564</v>
      </c>
      <c r="N354" t="s">
        <v>573</v>
      </c>
      <c r="O354" t="s">
        <v>609</v>
      </c>
      <c r="P354" t="s">
        <v>582</v>
      </c>
      <c r="Q354" t="s">
        <v>704</v>
      </c>
      <c r="R354" t="s">
        <v>704</v>
      </c>
      <c r="S354" t="s">
        <v>844</v>
      </c>
      <c r="T354" t="s">
        <v>1393</v>
      </c>
      <c r="U354" t="s">
        <v>659</v>
      </c>
      <c r="V354" t="s">
        <v>1484</v>
      </c>
      <c r="W354" t="s">
        <v>564</v>
      </c>
      <c r="X354" t="s">
        <v>564</v>
      </c>
      <c r="Y354" t="s">
        <v>574</v>
      </c>
      <c r="Z354" t="s">
        <v>574</v>
      </c>
      <c r="AA354" t="s">
        <v>565</v>
      </c>
      <c r="AB354" t="s">
        <v>661</v>
      </c>
      <c r="AC354" t="s">
        <v>598</v>
      </c>
      <c r="AD354" t="s">
        <v>869</v>
      </c>
      <c r="AE354" t="s">
        <v>618</v>
      </c>
      <c r="AF354" t="str">
        <f>IF(AND(HOUR(O354)&gt;=1,HOUR(O354)&lt;=13),VLOOKUP(B354,Programacion!$A$8:$S$1048576,16,FALSE),VLOOKUP(B354,Programacion!$A$8:$S$1048576,18,FALSE))</f>
        <v xml:space="preserve">  1343</v>
      </c>
      <c r="AG354" t="str">
        <f>IF(AND(HOUR(O354)&gt;=1,HOUR(O354)&lt;=13),VLOOKUP(B354,Programacion!$A$8:$S$1048576,17,FALSE),VLOOKUP(B354,Programacion!$A$8:$S$1048576,19,FALSE))</f>
        <v>GB01</v>
      </c>
    </row>
    <row r="355" spans="1:33" x14ac:dyDescent="0.25">
      <c r="A355" s="33" t="s">
        <v>189</v>
      </c>
      <c r="B355" t="s">
        <v>472</v>
      </c>
      <c r="C355" t="s">
        <v>1481</v>
      </c>
      <c r="D355" t="s">
        <v>557</v>
      </c>
      <c r="E355" t="s">
        <v>558</v>
      </c>
      <c r="F355" t="s">
        <v>1482</v>
      </c>
      <c r="G355" t="s">
        <v>560</v>
      </c>
      <c r="H355" t="s">
        <v>561</v>
      </c>
      <c r="I355" t="s">
        <v>1483</v>
      </c>
      <c r="L355" t="s">
        <v>737</v>
      </c>
      <c r="M355" t="s">
        <v>564</v>
      </c>
      <c r="N355" t="s">
        <v>573</v>
      </c>
      <c r="O355" t="s">
        <v>609</v>
      </c>
      <c r="P355" t="s">
        <v>582</v>
      </c>
      <c r="Q355" t="s">
        <v>704</v>
      </c>
      <c r="R355" t="s">
        <v>704</v>
      </c>
      <c r="S355" t="s">
        <v>844</v>
      </c>
      <c r="T355" t="s">
        <v>1393</v>
      </c>
      <c r="U355" t="s">
        <v>659</v>
      </c>
      <c r="V355" t="s">
        <v>1484</v>
      </c>
      <c r="W355" t="s">
        <v>564</v>
      </c>
      <c r="X355" t="s">
        <v>564</v>
      </c>
      <c r="Y355" t="s">
        <v>574</v>
      </c>
      <c r="Z355" t="s">
        <v>574</v>
      </c>
      <c r="AA355" t="s">
        <v>565</v>
      </c>
      <c r="AB355" t="s">
        <v>661</v>
      </c>
      <c r="AC355" t="s">
        <v>588</v>
      </c>
      <c r="AD355" t="s">
        <v>869</v>
      </c>
      <c r="AE355" t="s">
        <v>600</v>
      </c>
      <c r="AF355" t="str">
        <f>IF(AND(HOUR(O355)&gt;=1,HOUR(O355)&lt;=13),VLOOKUP(B355,Programacion!$A$8:$S$1048576,16,FALSE),VLOOKUP(B355,Programacion!$A$8:$S$1048576,18,FALSE))</f>
        <v xml:space="preserve">  1343</v>
      </c>
      <c r="AG355" t="str">
        <f>IF(AND(HOUR(O355)&gt;=1,HOUR(O355)&lt;=13),VLOOKUP(B355,Programacion!$A$8:$S$1048576,17,FALSE),VLOOKUP(B355,Programacion!$A$8:$S$1048576,19,FALSE))</f>
        <v>GB01</v>
      </c>
    </row>
    <row r="356" spans="1:33" x14ac:dyDescent="0.25">
      <c r="A356" s="33" t="s">
        <v>189</v>
      </c>
      <c r="B356" t="s">
        <v>472</v>
      </c>
      <c r="C356" t="s">
        <v>1481</v>
      </c>
      <c r="D356" t="s">
        <v>557</v>
      </c>
      <c r="E356" t="s">
        <v>558</v>
      </c>
      <c r="F356" t="s">
        <v>1482</v>
      </c>
      <c r="G356" t="s">
        <v>560</v>
      </c>
      <c r="H356" t="s">
        <v>561</v>
      </c>
      <c r="I356" t="s">
        <v>1483</v>
      </c>
      <c r="L356" t="s">
        <v>737</v>
      </c>
      <c r="M356" t="s">
        <v>564</v>
      </c>
      <c r="N356" t="s">
        <v>573</v>
      </c>
      <c r="O356" t="s">
        <v>609</v>
      </c>
      <c r="P356" t="s">
        <v>582</v>
      </c>
      <c r="Q356" t="s">
        <v>704</v>
      </c>
      <c r="R356" t="s">
        <v>704</v>
      </c>
      <c r="S356" t="s">
        <v>844</v>
      </c>
      <c r="T356" t="s">
        <v>1393</v>
      </c>
      <c r="U356" t="s">
        <v>659</v>
      </c>
      <c r="V356" t="s">
        <v>1484</v>
      </c>
      <c r="W356" t="s">
        <v>564</v>
      </c>
      <c r="X356" t="s">
        <v>564</v>
      </c>
      <c r="Y356" t="s">
        <v>574</v>
      </c>
      <c r="Z356" t="s">
        <v>574</v>
      </c>
      <c r="AA356" t="s">
        <v>565</v>
      </c>
      <c r="AB356" t="s">
        <v>661</v>
      </c>
      <c r="AC356" t="s">
        <v>576</v>
      </c>
      <c r="AD356" t="s">
        <v>599</v>
      </c>
      <c r="AE356" t="s">
        <v>651</v>
      </c>
      <c r="AF356" t="str">
        <f>IF(AND(HOUR(O356)&gt;=1,HOUR(O356)&lt;=13),VLOOKUP(B356,Programacion!$A$8:$S$1048576,16,FALSE),VLOOKUP(B356,Programacion!$A$8:$S$1048576,18,FALSE))</f>
        <v xml:space="preserve">  1343</v>
      </c>
      <c r="AG356" t="str">
        <f>IF(AND(HOUR(O356)&gt;=1,HOUR(O356)&lt;=13),VLOOKUP(B356,Programacion!$A$8:$S$1048576,17,FALSE),VLOOKUP(B356,Programacion!$A$8:$S$1048576,19,FALSE))</f>
        <v>GB01</v>
      </c>
    </row>
    <row r="357" spans="1:33" x14ac:dyDescent="0.25">
      <c r="A357" s="33" t="s">
        <v>189</v>
      </c>
      <c r="B357" t="s">
        <v>472</v>
      </c>
      <c r="C357" t="s">
        <v>1481</v>
      </c>
      <c r="D357" t="s">
        <v>557</v>
      </c>
      <c r="E357" t="s">
        <v>558</v>
      </c>
      <c r="F357" t="s">
        <v>1482</v>
      </c>
      <c r="G357" t="s">
        <v>560</v>
      </c>
      <c r="H357" t="s">
        <v>561</v>
      </c>
      <c r="I357" t="s">
        <v>1483</v>
      </c>
      <c r="L357" t="s">
        <v>737</v>
      </c>
      <c r="M357" t="s">
        <v>564</v>
      </c>
      <c r="N357" t="s">
        <v>573</v>
      </c>
      <c r="O357" t="s">
        <v>609</v>
      </c>
      <c r="P357" t="s">
        <v>582</v>
      </c>
      <c r="Q357" t="s">
        <v>704</v>
      </c>
      <c r="R357" t="s">
        <v>704</v>
      </c>
      <c r="S357" t="s">
        <v>844</v>
      </c>
      <c r="T357" t="s">
        <v>964</v>
      </c>
      <c r="U357" t="s">
        <v>1485</v>
      </c>
      <c r="V357" t="s">
        <v>1486</v>
      </c>
      <c r="W357" t="s">
        <v>564</v>
      </c>
      <c r="X357" t="s">
        <v>564</v>
      </c>
      <c r="Y357" t="s">
        <v>574</v>
      </c>
      <c r="Z357" t="s">
        <v>574</v>
      </c>
      <c r="AA357" t="s">
        <v>565</v>
      </c>
      <c r="AB357" t="s">
        <v>1249</v>
      </c>
      <c r="AC357" t="s">
        <v>598</v>
      </c>
      <c r="AD357" t="s">
        <v>695</v>
      </c>
      <c r="AE357" t="s">
        <v>696</v>
      </c>
      <c r="AF357" t="str">
        <f>IF(AND(HOUR(O357)&gt;=1,HOUR(O357)&lt;=13),VLOOKUP(B357,Programacion!$A$8:$S$1048576,16,FALSE),VLOOKUP(B357,Programacion!$A$8:$S$1048576,18,FALSE))</f>
        <v xml:space="preserve">  1343</v>
      </c>
      <c r="AG357" t="str">
        <f>IF(AND(HOUR(O357)&gt;=1,HOUR(O357)&lt;=13),VLOOKUP(B357,Programacion!$A$8:$S$1048576,17,FALSE),VLOOKUP(B357,Programacion!$A$8:$S$1048576,19,FALSE))</f>
        <v>GB01</v>
      </c>
    </row>
    <row r="358" spans="1:33" x14ac:dyDescent="0.25">
      <c r="A358" s="33" t="s">
        <v>189</v>
      </c>
      <c r="B358" t="s">
        <v>472</v>
      </c>
      <c r="C358" t="s">
        <v>1481</v>
      </c>
      <c r="D358" t="s">
        <v>557</v>
      </c>
      <c r="E358" t="s">
        <v>558</v>
      </c>
      <c r="F358" t="s">
        <v>1482</v>
      </c>
      <c r="G358" t="s">
        <v>560</v>
      </c>
      <c r="H358" t="s">
        <v>561</v>
      </c>
      <c r="I358" t="s">
        <v>1483</v>
      </c>
      <c r="L358" t="s">
        <v>737</v>
      </c>
      <c r="M358" t="s">
        <v>564</v>
      </c>
      <c r="N358" t="s">
        <v>573</v>
      </c>
      <c r="O358" t="s">
        <v>609</v>
      </c>
      <c r="P358" t="s">
        <v>582</v>
      </c>
      <c r="Q358" t="s">
        <v>704</v>
      </c>
      <c r="R358" t="s">
        <v>704</v>
      </c>
      <c r="S358" t="s">
        <v>844</v>
      </c>
      <c r="T358" t="s">
        <v>964</v>
      </c>
      <c r="U358" t="s">
        <v>1485</v>
      </c>
      <c r="V358" t="s">
        <v>1486</v>
      </c>
      <c r="W358" t="s">
        <v>564</v>
      </c>
      <c r="X358" t="s">
        <v>564</v>
      </c>
      <c r="Y358" t="s">
        <v>574</v>
      </c>
      <c r="Z358" t="s">
        <v>574</v>
      </c>
      <c r="AA358" t="s">
        <v>565</v>
      </c>
      <c r="AB358" t="s">
        <v>1249</v>
      </c>
      <c r="AC358" t="s">
        <v>596</v>
      </c>
      <c r="AD358" t="s">
        <v>589</v>
      </c>
      <c r="AE358" t="s">
        <v>663</v>
      </c>
      <c r="AF358" t="str">
        <f>IF(AND(HOUR(O358)&gt;=1,HOUR(O358)&lt;=13),VLOOKUP(B358,Programacion!$A$8:$S$1048576,16,FALSE),VLOOKUP(B358,Programacion!$A$8:$S$1048576,18,FALSE))</f>
        <v xml:space="preserve">  1343</v>
      </c>
      <c r="AG358" t="str">
        <f>IF(AND(HOUR(O358)&gt;=1,HOUR(O358)&lt;=13),VLOOKUP(B358,Programacion!$A$8:$S$1048576,17,FALSE),VLOOKUP(B358,Programacion!$A$8:$S$1048576,19,FALSE))</f>
        <v>GB01</v>
      </c>
    </row>
    <row r="359" spans="1:33" x14ac:dyDescent="0.25">
      <c r="A359" s="33" t="s">
        <v>189</v>
      </c>
      <c r="B359" t="s">
        <v>472</v>
      </c>
      <c r="C359" t="s">
        <v>1481</v>
      </c>
      <c r="D359" t="s">
        <v>557</v>
      </c>
      <c r="E359" t="s">
        <v>558</v>
      </c>
      <c r="F359" t="s">
        <v>1482</v>
      </c>
      <c r="G359" t="s">
        <v>560</v>
      </c>
      <c r="H359" t="s">
        <v>561</v>
      </c>
      <c r="I359" t="s">
        <v>1483</v>
      </c>
      <c r="L359" t="s">
        <v>737</v>
      </c>
      <c r="M359" t="s">
        <v>564</v>
      </c>
      <c r="N359" t="s">
        <v>573</v>
      </c>
      <c r="O359" t="s">
        <v>609</v>
      </c>
      <c r="P359" t="s">
        <v>582</v>
      </c>
      <c r="Q359" t="s">
        <v>704</v>
      </c>
      <c r="R359" t="s">
        <v>704</v>
      </c>
      <c r="S359" t="s">
        <v>844</v>
      </c>
      <c r="T359" t="s">
        <v>1487</v>
      </c>
      <c r="U359" t="s">
        <v>1488</v>
      </c>
      <c r="V359" t="s">
        <v>1489</v>
      </c>
      <c r="W359" t="s">
        <v>645</v>
      </c>
      <c r="X359" t="s">
        <v>564</v>
      </c>
      <c r="Y359" t="s">
        <v>574</v>
      </c>
      <c r="Z359" t="s">
        <v>574</v>
      </c>
      <c r="AA359" t="s">
        <v>565</v>
      </c>
      <c r="AB359" t="s">
        <v>666</v>
      </c>
      <c r="AC359" t="s">
        <v>576</v>
      </c>
      <c r="AD359" t="s">
        <v>798</v>
      </c>
      <c r="AE359" t="s">
        <v>647</v>
      </c>
      <c r="AF359" t="str">
        <f>IF(AND(HOUR(O359)&gt;=1,HOUR(O359)&lt;=13),VLOOKUP(B359,Programacion!$A$8:$S$1048576,16,FALSE),VLOOKUP(B359,Programacion!$A$8:$S$1048576,18,FALSE))</f>
        <v xml:space="preserve">  1343</v>
      </c>
      <c r="AG359" t="str">
        <f>IF(AND(HOUR(O359)&gt;=1,HOUR(O359)&lt;=13),VLOOKUP(B359,Programacion!$A$8:$S$1048576,17,FALSE),VLOOKUP(B359,Programacion!$A$8:$S$1048576,19,FALSE))</f>
        <v>GB01</v>
      </c>
    </row>
    <row r="360" spans="1:33" x14ac:dyDescent="0.25">
      <c r="A360" s="33" t="s">
        <v>189</v>
      </c>
      <c r="B360" t="s">
        <v>472</v>
      </c>
      <c r="C360" t="s">
        <v>1481</v>
      </c>
      <c r="D360" t="s">
        <v>557</v>
      </c>
      <c r="E360" t="s">
        <v>558</v>
      </c>
      <c r="F360" t="s">
        <v>1490</v>
      </c>
      <c r="G360" t="s">
        <v>560</v>
      </c>
      <c r="H360" t="s">
        <v>561</v>
      </c>
      <c r="I360" t="s">
        <v>1491</v>
      </c>
      <c r="L360" t="s">
        <v>868</v>
      </c>
      <c r="M360" t="s">
        <v>564</v>
      </c>
      <c r="N360" t="s">
        <v>573</v>
      </c>
      <c r="O360" t="s">
        <v>1338</v>
      </c>
      <c r="P360" t="s">
        <v>567</v>
      </c>
      <c r="Q360" t="s">
        <v>704</v>
      </c>
      <c r="R360" t="s">
        <v>704</v>
      </c>
      <c r="S360" t="s">
        <v>844</v>
      </c>
      <c r="T360" t="s">
        <v>1492</v>
      </c>
      <c r="U360" t="s">
        <v>1017</v>
      </c>
      <c r="V360" t="s">
        <v>1493</v>
      </c>
      <c r="W360" t="s">
        <v>573</v>
      </c>
      <c r="X360" t="s">
        <v>564</v>
      </c>
      <c r="Y360" t="s">
        <v>574</v>
      </c>
      <c r="Z360" t="s">
        <v>574</v>
      </c>
      <c r="AA360" t="s">
        <v>565</v>
      </c>
      <c r="AB360" t="s">
        <v>1494</v>
      </c>
      <c r="AC360" t="s">
        <v>576</v>
      </c>
      <c r="AD360" t="s">
        <v>869</v>
      </c>
      <c r="AE360" t="s">
        <v>618</v>
      </c>
      <c r="AF360" t="str">
        <f>IF(AND(HOUR(O360)&gt;=1,HOUR(O360)&lt;=13),VLOOKUP(B360,Programacion!$A$8:$S$1048576,16,FALSE),VLOOKUP(B360,Programacion!$A$8:$S$1048576,18,FALSE))</f>
        <v xml:space="preserve">  1343</v>
      </c>
      <c r="AG360" t="str">
        <f>IF(AND(HOUR(O360)&gt;=1,HOUR(O360)&lt;=13),VLOOKUP(B360,Programacion!$A$8:$S$1048576,17,FALSE),VLOOKUP(B360,Programacion!$A$8:$S$1048576,19,FALSE))</f>
        <v>GB01</v>
      </c>
    </row>
    <row r="361" spans="1:33" x14ac:dyDescent="0.25">
      <c r="A361" s="33" t="s">
        <v>189</v>
      </c>
      <c r="B361" t="s">
        <v>472</v>
      </c>
      <c r="C361" t="s">
        <v>1481</v>
      </c>
      <c r="D361" t="s">
        <v>557</v>
      </c>
      <c r="E361" t="s">
        <v>558</v>
      </c>
      <c r="F361" t="s">
        <v>1490</v>
      </c>
      <c r="G361" t="s">
        <v>560</v>
      </c>
      <c r="H361" t="s">
        <v>561</v>
      </c>
      <c r="I361" t="s">
        <v>1491</v>
      </c>
      <c r="L361" t="s">
        <v>868</v>
      </c>
      <c r="M361" t="s">
        <v>564</v>
      </c>
      <c r="N361" t="s">
        <v>573</v>
      </c>
      <c r="O361" t="s">
        <v>1338</v>
      </c>
      <c r="P361" t="s">
        <v>567</v>
      </c>
      <c r="Q361" t="s">
        <v>704</v>
      </c>
      <c r="R361" t="s">
        <v>704</v>
      </c>
      <c r="S361" t="s">
        <v>844</v>
      </c>
      <c r="T361" t="s">
        <v>1492</v>
      </c>
      <c r="U361" t="s">
        <v>1017</v>
      </c>
      <c r="V361" t="s">
        <v>1493</v>
      </c>
      <c r="W361" t="s">
        <v>573</v>
      </c>
      <c r="X361" t="s">
        <v>564</v>
      </c>
      <c r="Y361" t="s">
        <v>574</v>
      </c>
      <c r="Z361" t="s">
        <v>574</v>
      </c>
      <c r="AA361" t="s">
        <v>565</v>
      </c>
      <c r="AB361" t="s">
        <v>1494</v>
      </c>
      <c r="AC361" t="s">
        <v>596</v>
      </c>
      <c r="AD361" t="s">
        <v>781</v>
      </c>
      <c r="AE361" t="s">
        <v>1385</v>
      </c>
      <c r="AF361" t="str">
        <f>IF(AND(HOUR(O361)&gt;=1,HOUR(O361)&lt;=13),VLOOKUP(B361,Programacion!$A$8:$S$1048576,16,FALSE),VLOOKUP(B361,Programacion!$A$8:$S$1048576,18,FALSE))</f>
        <v xml:space="preserve">  1343</v>
      </c>
      <c r="AG361" t="str">
        <f>IF(AND(HOUR(O361)&gt;=1,HOUR(O361)&lt;=13),VLOOKUP(B361,Programacion!$A$8:$S$1048576,17,FALSE),VLOOKUP(B361,Programacion!$A$8:$S$1048576,19,FALSE))</f>
        <v>GB01</v>
      </c>
    </row>
    <row r="362" spans="1:33" x14ac:dyDescent="0.25">
      <c r="A362" s="33" t="s">
        <v>189</v>
      </c>
      <c r="B362" t="s">
        <v>472</v>
      </c>
      <c r="C362" t="s">
        <v>1481</v>
      </c>
      <c r="D362" t="s">
        <v>557</v>
      </c>
      <c r="E362" t="s">
        <v>558</v>
      </c>
      <c r="F362" t="s">
        <v>1490</v>
      </c>
      <c r="G362" t="s">
        <v>560</v>
      </c>
      <c r="H362" t="s">
        <v>561</v>
      </c>
      <c r="I362" t="s">
        <v>1491</v>
      </c>
      <c r="L362" t="s">
        <v>868</v>
      </c>
      <c r="M362" t="s">
        <v>564</v>
      </c>
      <c r="N362" t="s">
        <v>573</v>
      </c>
      <c r="O362" t="s">
        <v>1338</v>
      </c>
      <c r="P362" t="s">
        <v>567</v>
      </c>
      <c r="Q362" t="s">
        <v>704</v>
      </c>
      <c r="R362" t="s">
        <v>704</v>
      </c>
      <c r="S362" t="s">
        <v>844</v>
      </c>
      <c r="T362" t="s">
        <v>1492</v>
      </c>
      <c r="U362" t="s">
        <v>1017</v>
      </c>
      <c r="V362" t="s">
        <v>1493</v>
      </c>
      <c r="W362" t="s">
        <v>573</v>
      </c>
      <c r="X362" t="s">
        <v>564</v>
      </c>
      <c r="Y362" t="s">
        <v>574</v>
      </c>
      <c r="Z362" t="s">
        <v>574</v>
      </c>
      <c r="AA362" t="s">
        <v>565</v>
      </c>
      <c r="AB362" t="s">
        <v>1494</v>
      </c>
      <c r="AC362" t="s">
        <v>598</v>
      </c>
      <c r="AD362" t="s">
        <v>693</v>
      </c>
      <c r="AE362" t="s">
        <v>996</v>
      </c>
      <c r="AF362" t="str">
        <f>IF(AND(HOUR(O362)&gt;=1,HOUR(O362)&lt;=13),VLOOKUP(B362,Programacion!$A$8:$S$1048576,16,FALSE),VLOOKUP(B362,Programacion!$A$8:$S$1048576,18,FALSE))</f>
        <v xml:space="preserve">  1343</v>
      </c>
      <c r="AG362" t="str">
        <f>IF(AND(HOUR(O362)&gt;=1,HOUR(O362)&lt;=13),VLOOKUP(B362,Programacion!$A$8:$S$1048576,17,FALSE),VLOOKUP(B362,Programacion!$A$8:$S$1048576,19,FALSE))</f>
        <v>GB01</v>
      </c>
    </row>
    <row r="363" spans="1:33" x14ac:dyDescent="0.25">
      <c r="A363" s="33" t="s">
        <v>189</v>
      </c>
      <c r="B363" t="s">
        <v>472</v>
      </c>
      <c r="C363" t="s">
        <v>1481</v>
      </c>
      <c r="D363" t="s">
        <v>557</v>
      </c>
      <c r="E363" t="s">
        <v>558</v>
      </c>
      <c r="F363" t="s">
        <v>1490</v>
      </c>
      <c r="G363" t="s">
        <v>560</v>
      </c>
      <c r="H363" t="s">
        <v>561</v>
      </c>
      <c r="I363" t="s">
        <v>1491</v>
      </c>
      <c r="L363" t="s">
        <v>868</v>
      </c>
      <c r="M363" t="s">
        <v>564</v>
      </c>
      <c r="N363" t="s">
        <v>573</v>
      </c>
      <c r="O363" t="s">
        <v>1338</v>
      </c>
      <c r="P363" t="s">
        <v>567</v>
      </c>
      <c r="Q363" t="s">
        <v>704</v>
      </c>
      <c r="R363" t="s">
        <v>704</v>
      </c>
      <c r="S363" t="s">
        <v>844</v>
      </c>
      <c r="T363" t="s">
        <v>1492</v>
      </c>
      <c r="U363" t="s">
        <v>1017</v>
      </c>
      <c r="V363" t="s">
        <v>1493</v>
      </c>
      <c r="W363" t="s">
        <v>573</v>
      </c>
      <c r="X363" t="s">
        <v>564</v>
      </c>
      <c r="Y363" t="s">
        <v>574</v>
      </c>
      <c r="Z363" t="s">
        <v>574</v>
      </c>
      <c r="AA363" t="s">
        <v>565</v>
      </c>
      <c r="AB363" t="s">
        <v>1494</v>
      </c>
      <c r="AC363" t="s">
        <v>588</v>
      </c>
      <c r="AD363" t="s">
        <v>695</v>
      </c>
      <c r="AE363" t="s">
        <v>696</v>
      </c>
      <c r="AF363" t="str">
        <f>IF(AND(HOUR(O363)&gt;=1,HOUR(O363)&lt;=13),VLOOKUP(B363,Programacion!$A$8:$S$1048576,16,FALSE),VLOOKUP(B363,Programacion!$A$8:$S$1048576,18,FALSE))</f>
        <v xml:space="preserve">  1343</v>
      </c>
      <c r="AG363" t="str">
        <f>IF(AND(HOUR(O363)&gt;=1,HOUR(O363)&lt;=13),VLOOKUP(B363,Programacion!$A$8:$S$1048576,17,FALSE),VLOOKUP(B363,Programacion!$A$8:$S$1048576,19,FALSE))</f>
        <v>GB01</v>
      </c>
    </row>
    <row r="364" spans="1:33" x14ac:dyDescent="0.25">
      <c r="A364" s="33" t="s">
        <v>1495</v>
      </c>
      <c r="B364" t="s">
        <v>471</v>
      </c>
      <c r="C364" t="s">
        <v>1496</v>
      </c>
      <c r="D364" t="s">
        <v>557</v>
      </c>
      <c r="E364" t="s">
        <v>558</v>
      </c>
      <c r="F364" t="s">
        <v>1497</v>
      </c>
      <c r="G364" t="s">
        <v>560</v>
      </c>
      <c r="H364" t="s">
        <v>561</v>
      </c>
      <c r="I364" t="s">
        <v>1498</v>
      </c>
      <c r="L364" t="s">
        <v>737</v>
      </c>
      <c r="M364" t="s">
        <v>564</v>
      </c>
      <c r="N364" t="s">
        <v>573</v>
      </c>
      <c r="O364" t="s">
        <v>609</v>
      </c>
      <c r="P364" t="s">
        <v>642</v>
      </c>
      <c r="Q364" t="s">
        <v>704</v>
      </c>
      <c r="R364" t="s">
        <v>704</v>
      </c>
      <c r="S364" t="s">
        <v>705</v>
      </c>
      <c r="T364" t="s">
        <v>1499</v>
      </c>
      <c r="U364" t="s">
        <v>680</v>
      </c>
      <c r="V364" t="s">
        <v>1500</v>
      </c>
      <c r="W364" t="s">
        <v>564</v>
      </c>
      <c r="X364" t="s">
        <v>564</v>
      </c>
      <c r="Y364" t="s">
        <v>574</v>
      </c>
      <c r="Z364" t="s">
        <v>574</v>
      </c>
      <c r="AA364" t="s">
        <v>565</v>
      </c>
      <c r="AB364" t="s">
        <v>683</v>
      </c>
      <c r="AC364" t="s">
        <v>596</v>
      </c>
      <c r="AD364" t="s">
        <v>829</v>
      </c>
      <c r="AE364" t="s">
        <v>1480</v>
      </c>
      <c r="AF364" t="e">
        <f>IF(AND(HOUR(O364)&gt;=1,HOUR(O364)&lt;=13),VLOOKUP(B364,Programacion!$A$8:$S$1048576,16,FALSE),VLOOKUP(B364,Programacion!$A$8:$S$1048576,18,FALSE))</f>
        <v>#N/A</v>
      </c>
      <c r="AG364" t="e">
        <f>IF(AND(HOUR(O364)&gt;=1,HOUR(O364)&lt;=13),VLOOKUP(B364,Programacion!$A$8:$S$1048576,17,FALSE),VLOOKUP(B364,Programacion!$A$8:$S$1048576,19,FALSE))</f>
        <v>#N/A</v>
      </c>
    </row>
    <row r="365" spans="1:33" x14ac:dyDescent="0.25">
      <c r="A365" s="33" t="s">
        <v>1495</v>
      </c>
      <c r="B365" t="s">
        <v>471</v>
      </c>
      <c r="C365" t="s">
        <v>1496</v>
      </c>
      <c r="D365" t="s">
        <v>557</v>
      </c>
      <c r="E365" t="s">
        <v>558</v>
      </c>
      <c r="F365" t="s">
        <v>1497</v>
      </c>
      <c r="G365" t="s">
        <v>560</v>
      </c>
      <c r="H365" t="s">
        <v>561</v>
      </c>
      <c r="I365" t="s">
        <v>1498</v>
      </c>
      <c r="L365" t="s">
        <v>737</v>
      </c>
      <c r="M365" t="s">
        <v>564</v>
      </c>
      <c r="N365" t="s">
        <v>573</v>
      </c>
      <c r="O365" t="s">
        <v>609</v>
      </c>
      <c r="P365" t="s">
        <v>642</v>
      </c>
      <c r="Q365" t="s">
        <v>704</v>
      </c>
      <c r="R365" t="s">
        <v>704</v>
      </c>
      <c r="S365" t="s">
        <v>705</v>
      </c>
      <c r="T365" t="s">
        <v>1499</v>
      </c>
      <c r="U365" t="s">
        <v>680</v>
      </c>
      <c r="V365" t="s">
        <v>1500</v>
      </c>
      <c r="W365" t="s">
        <v>564</v>
      </c>
      <c r="X365" t="s">
        <v>564</v>
      </c>
      <c r="Y365" t="s">
        <v>574</v>
      </c>
      <c r="Z365" t="s">
        <v>574</v>
      </c>
      <c r="AA365" t="s">
        <v>565</v>
      </c>
      <c r="AB365" t="s">
        <v>683</v>
      </c>
      <c r="AC365" t="s">
        <v>598</v>
      </c>
      <c r="AD365" t="s">
        <v>695</v>
      </c>
      <c r="AE365" t="s">
        <v>663</v>
      </c>
      <c r="AF365" t="e">
        <f>IF(AND(HOUR(O365)&gt;=1,HOUR(O365)&lt;=13),VLOOKUP(B365,Programacion!$A$8:$S$1048576,16,FALSE),VLOOKUP(B365,Programacion!$A$8:$S$1048576,18,FALSE))</f>
        <v>#N/A</v>
      </c>
      <c r="AG365" t="e">
        <f>IF(AND(HOUR(O365)&gt;=1,HOUR(O365)&lt;=13),VLOOKUP(B365,Programacion!$A$8:$S$1048576,17,FALSE),VLOOKUP(B365,Programacion!$A$8:$S$1048576,19,FALSE))</f>
        <v>#N/A</v>
      </c>
    </row>
    <row r="366" spans="1:33" x14ac:dyDescent="0.25">
      <c r="A366" s="33" t="s">
        <v>1495</v>
      </c>
      <c r="B366" t="s">
        <v>471</v>
      </c>
      <c r="C366" t="s">
        <v>1496</v>
      </c>
      <c r="D366" t="s">
        <v>557</v>
      </c>
      <c r="E366" t="s">
        <v>558</v>
      </c>
      <c r="F366" t="s">
        <v>1497</v>
      </c>
      <c r="G366" t="s">
        <v>560</v>
      </c>
      <c r="H366" t="s">
        <v>561</v>
      </c>
      <c r="I366" t="s">
        <v>1498</v>
      </c>
      <c r="L366" t="s">
        <v>737</v>
      </c>
      <c r="M366" t="s">
        <v>564</v>
      </c>
      <c r="N366" t="s">
        <v>573</v>
      </c>
      <c r="O366" t="s">
        <v>609</v>
      </c>
      <c r="P366" t="s">
        <v>642</v>
      </c>
      <c r="Q366" t="s">
        <v>704</v>
      </c>
      <c r="R366" t="s">
        <v>704</v>
      </c>
      <c r="S366" t="s">
        <v>705</v>
      </c>
      <c r="T366" t="s">
        <v>1499</v>
      </c>
      <c r="U366" t="s">
        <v>680</v>
      </c>
      <c r="V366" t="s">
        <v>1500</v>
      </c>
      <c r="W366" t="s">
        <v>564</v>
      </c>
      <c r="X366" t="s">
        <v>564</v>
      </c>
      <c r="Y366" t="s">
        <v>574</v>
      </c>
      <c r="Z366" t="s">
        <v>574</v>
      </c>
      <c r="AA366" t="s">
        <v>565</v>
      </c>
      <c r="AB366" t="s">
        <v>683</v>
      </c>
      <c r="AC366" t="s">
        <v>588</v>
      </c>
      <c r="AD366" t="s">
        <v>695</v>
      </c>
      <c r="AE366" t="s">
        <v>618</v>
      </c>
      <c r="AF366" t="e">
        <f>IF(AND(HOUR(O366)&gt;=1,HOUR(O366)&lt;=13),VLOOKUP(B366,Programacion!$A$8:$S$1048576,16,FALSE),VLOOKUP(B366,Programacion!$A$8:$S$1048576,18,FALSE))</f>
        <v>#N/A</v>
      </c>
      <c r="AG366" t="e">
        <f>IF(AND(HOUR(O366)&gt;=1,HOUR(O366)&lt;=13),VLOOKUP(B366,Programacion!$A$8:$S$1048576,17,FALSE),VLOOKUP(B366,Programacion!$A$8:$S$1048576,19,FALSE))</f>
        <v>#N/A</v>
      </c>
    </row>
    <row r="367" spans="1:33" x14ac:dyDescent="0.25">
      <c r="A367" s="33" t="s">
        <v>1495</v>
      </c>
      <c r="B367" t="s">
        <v>471</v>
      </c>
      <c r="C367" t="s">
        <v>1496</v>
      </c>
      <c r="D367" t="s">
        <v>557</v>
      </c>
      <c r="E367" t="s">
        <v>558</v>
      </c>
      <c r="F367" t="s">
        <v>1497</v>
      </c>
      <c r="G367" t="s">
        <v>560</v>
      </c>
      <c r="H367" t="s">
        <v>561</v>
      </c>
      <c r="I367" t="s">
        <v>1498</v>
      </c>
      <c r="L367" t="s">
        <v>737</v>
      </c>
      <c r="M367" t="s">
        <v>564</v>
      </c>
      <c r="N367" t="s">
        <v>573</v>
      </c>
      <c r="O367" t="s">
        <v>609</v>
      </c>
      <c r="P367" t="s">
        <v>642</v>
      </c>
      <c r="Q367" t="s">
        <v>704</v>
      </c>
      <c r="R367" t="s">
        <v>704</v>
      </c>
      <c r="S367" t="s">
        <v>705</v>
      </c>
      <c r="T367" t="s">
        <v>1501</v>
      </c>
      <c r="U367" t="s">
        <v>1075</v>
      </c>
      <c r="V367" t="s">
        <v>1502</v>
      </c>
      <c r="W367" t="s">
        <v>645</v>
      </c>
      <c r="X367" t="s">
        <v>564</v>
      </c>
      <c r="Y367" t="s">
        <v>574</v>
      </c>
      <c r="Z367" t="s">
        <v>574</v>
      </c>
      <c r="AA367" t="s">
        <v>565</v>
      </c>
      <c r="AB367" t="s">
        <v>801</v>
      </c>
      <c r="AC367" t="s">
        <v>576</v>
      </c>
      <c r="AD367" t="s">
        <v>599</v>
      </c>
      <c r="AE367" t="s">
        <v>600</v>
      </c>
      <c r="AF367" t="e">
        <f>IF(AND(HOUR(O367)&gt;=1,HOUR(O367)&lt;=13),VLOOKUP(B367,Programacion!$A$8:$S$1048576,16,FALSE),VLOOKUP(B367,Programacion!$A$8:$S$1048576,18,FALSE))</f>
        <v>#N/A</v>
      </c>
      <c r="AG367" t="e">
        <f>IF(AND(HOUR(O367)&gt;=1,HOUR(O367)&lt;=13),VLOOKUP(B367,Programacion!$A$8:$S$1048576,17,FALSE),VLOOKUP(B367,Programacion!$A$8:$S$1048576,19,FALSE))</f>
        <v>#N/A</v>
      </c>
    </row>
    <row r="368" spans="1:33" x14ac:dyDescent="0.25">
      <c r="A368" s="33" t="s">
        <v>1495</v>
      </c>
      <c r="B368" t="s">
        <v>471</v>
      </c>
      <c r="C368" t="s">
        <v>1496</v>
      </c>
      <c r="D368" t="s">
        <v>557</v>
      </c>
      <c r="E368" t="s">
        <v>558</v>
      </c>
      <c r="F368" t="s">
        <v>1503</v>
      </c>
      <c r="G368" t="s">
        <v>560</v>
      </c>
      <c r="H368" t="s">
        <v>561</v>
      </c>
      <c r="I368" t="s">
        <v>1504</v>
      </c>
      <c r="L368" t="s">
        <v>1111</v>
      </c>
      <c r="M368" t="s">
        <v>564</v>
      </c>
      <c r="N368" t="s">
        <v>573</v>
      </c>
      <c r="O368" t="s">
        <v>805</v>
      </c>
      <c r="P368" t="s">
        <v>605</v>
      </c>
      <c r="Q368" t="s">
        <v>704</v>
      </c>
      <c r="R368" t="s">
        <v>704</v>
      </c>
      <c r="S368" t="s">
        <v>705</v>
      </c>
      <c r="T368" t="s">
        <v>1059</v>
      </c>
      <c r="U368" t="s">
        <v>903</v>
      </c>
      <c r="V368" t="s">
        <v>1505</v>
      </c>
      <c r="W368" t="s">
        <v>586</v>
      </c>
      <c r="X368" t="s">
        <v>564</v>
      </c>
      <c r="Y368" t="s">
        <v>574</v>
      </c>
      <c r="Z368" t="s">
        <v>574</v>
      </c>
      <c r="AA368" t="s">
        <v>565</v>
      </c>
      <c r="AB368" t="s">
        <v>905</v>
      </c>
      <c r="AC368" t="s">
        <v>598</v>
      </c>
      <c r="AD368" t="s">
        <v>599</v>
      </c>
      <c r="AE368" t="s">
        <v>600</v>
      </c>
      <c r="AF368" t="e">
        <f>IF(AND(HOUR(O368)&gt;=1,HOUR(O368)&lt;=13),VLOOKUP(B368,Programacion!$A$8:$S$1048576,16,FALSE),VLOOKUP(B368,Programacion!$A$8:$S$1048576,18,FALSE))</f>
        <v>#N/A</v>
      </c>
      <c r="AG368" t="e">
        <f>IF(AND(HOUR(O368)&gt;=1,HOUR(O368)&lt;=13),VLOOKUP(B368,Programacion!$A$8:$S$1048576,17,FALSE),VLOOKUP(B368,Programacion!$A$8:$S$1048576,19,FALSE))</f>
        <v>#N/A</v>
      </c>
    </row>
    <row r="369" spans="1:33" x14ac:dyDescent="0.25">
      <c r="A369" s="33" t="s">
        <v>1495</v>
      </c>
      <c r="B369" t="s">
        <v>471</v>
      </c>
      <c r="C369" t="s">
        <v>1496</v>
      </c>
      <c r="D369" t="s">
        <v>557</v>
      </c>
      <c r="E369" t="s">
        <v>558</v>
      </c>
      <c r="F369" t="s">
        <v>1503</v>
      </c>
      <c r="G369" t="s">
        <v>560</v>
      </c>
      <c r="H369" t="s">
        <v>561</v>
      </c>
      <c r="I369" t="s">
        <v>1504</v>
      </c>
      <c r="L369" t="s">
        <v>1111</v>
      </c>
      <c r="M369" t="s">
        <v>564</v>
      </c>
      <c r="N369" t="s">
        <v>573</v>
      </c>
      <c r="O369" t="s">
        <v>805</v>
      </c>
      <c r="P369" t="s">
        <v>605</v>
      </c>
      <c r="Q369" t="s">
        <v>704</v>
      </c>
      <c r="R369" t="s">
        <v>704</v>
      </c>
      <c r="S369" t="s">
        <v>705</v>
      </c>
      <c r="T369" t="s">
        <v>1059</v>
      </c>
      <c r="U369" t="s">
        <v>903</v>
      </c>
      <c r="V369" t="s">
        <v>1505</v>
      </c>
      <c r="W369" t="s">
        <v>586</v>
      </c>
      <c r="X369" t="s">
        <v>564</v>
      </c>
      <c r="Y369" t="s">
        <v>574</v>
      </c>
      <c r="Z369" t="s">
        <v>574</v>
      </c>
      <c r="AA369" t="s">
        <v>565</v>
      </c>
      <c r="AB369" t="s">
        <v>905</v>
      </c>
      <c r="AC369" t="s">
        <v>596</v>
      </c>
      <c r="AD369" t="s">
        <v>829</v>
      </c>
      <c r="AE369" t="s">
        <v>1480</v>
      </c>
      <c r="AF369" t="e">
        <f>IF(AND(HOUR(O369)&gt;=1,HOUR(O369)&lt;=13),VLOOKUP(B369,Programacion!$A$8:$S$1048576,16,FALSE),VLOOKUP(B369,Programacion!$A$8:$S$1048576,18,FALSE))</f>
        <v>#N/A</v>
      </c>
      <c r="AG369" t="e">
        <f>IF(AND(HOUR(O369)&gt;=1,HOUR(O369)&lt;=13),VLOOKUP(B369,Programacion!$A$8:$S$1048576,17,FALSE),VLOOKUP(B369,Programacion!$A$8:$S$1048576,19,FALSE))</f>
        <v>#N/A</v>
      </c>
    </row>
    <row r="370" spans="1:33" x14ac:dyDescent="0.25">
      <c r="A370" s="33" t="s">
        <v>1495</v>
      </c>
      <c r="B370" t="s">
        <v>471</v>
      </c>
      <c r="C370" t="s">
        <v>1496</v>
      </c>
      <c r="D370" t="s">
        <v>557</v>
      </c>
      <c r="E370" t="s">
        <v>558</v>
      </c>
      <c r="F370" t="s">
        <v>1503</v>
      </c>
      <c r="G370" t="s">
        <v>560</v>
      </c>
      <c r="H370" t="s">
        <v>561</v>
      </c>
      <c r="I370" t="s">
        <v>1504</v>
      </c>
      <c r="L370" t="s">
        <v>1111</v>
      </c>
      <c r="M370" t="s">
        <v>564</v>
      </c>
      <c r="N370" t="s">
        <v>573</v>
      </c>
      <c r="O370" t="s">
        <v>805</v>
      </c>
      <c r="P370" t="s">
        <v>605</v>
      </c>
      <c r="Q370" t="s">
        <v>704</v>
      </c>
      <c r="R370" t="s">
        <v>704</v>
      </c>
      <c r="S370" t="s">
        <v>705</v>
      </c>
      <c r="T370" t="s">
        <v>1059</v>
      </c>
      <c r="U370" t="s">
        <v>903</v>
      </c>
      <c r="V370" t="s">
        <v>1505</v>
      </c>
      <c r="W370" t="s">
        <v>586</v>
      </c>
      <c r="X370" t="s">
        <v>564</v>
      </c>
      <c r="Y370" t="s">
        <v>574</v>
      </c>
      <c r="Z370" t="s">
        <v>574</v>
      </c>
      <c r="AA370" t="s">
        <v>565</v>
      </c>
      <c r="AB370" t="s">
        <v>905</v>
      </c>
      <c r="AC370" t="s">
        <v>576</v>
      </c>
      <c r="AD370" t="s">
        <v>695</v>
      </c>
      <c r="AE370" t="s">
        <v>663</v>
      </c>
      <c r="AF370" t="e">
        <f>IF(AND(HOUR(O370)&gt;=1,HOUR(O370)&lt;=13),VLOOKUP(B370,Programacion!$A$8:$S$1048576,16,FALSE),VLOOKUP(B370,Programacion!$A$8:$S$1048576,18,FALSE))</f>
        <v>#N/A</v>
      </c>
      <c r="AG370" t="e">
        <f>IF(AND(HOUR(O370)&gt;=1,HOUR(O370)&lt;=13),VLOOKUP(B370,Programacion!$A$8:$S$1048576,17,FALSE),VLOOKUP(B370,Programacion!$A$8:$S$1048576,19,FALSE))</f>
        <v>#N/A</v>
      </c>
    </row>
    <row r="371" spans="1:33" x14ac:dyDescent="0.25">
      <c r="A371" s="33" t="s">
        <v>1495</v>
      </c>
      <c r="B371" t="s">
        <v>471</v>
      </c>
      <c r="C371" t="s">
        <v>1496</v>
      </c>
      <c r="D371" t="s">
        <v>557</v>
      </c>
      <c r="E371" t="s">
        <v>558</v>
      </c>
      <c r="F371" t="s">
        <v>1503</v>
      </c>
      <c r="G371" t="s">
        <v>560</v>
      </c>
      <c r="H371" t="s">
        <v>561</v>
      </c>
      <c r="I371" t="s">
        <v>1504</v>
      </c>
      <c r="L371" t="s">
        <v>1111</v>
      </c>
      <c r="M371" t="s">
        <v>564</v>
      </c>
      <c r="N371" t="s">
        <v>573</v>
      </c>
      <c r="O371" t="s">
        <v>805</v>
      </c>
      <c r="P371" t="s">
        <v>605</v>
      </c>
      <c r="Q371" t="s">
        <v>704</v>
      </c>
      <c r="R371" t="s">
        <v>704</v>
      </c>
      <c r="S371" t="s">
        <v>705</v>
      </c>
      <c r="T371" t="s">
        <v>1059</v>
      </c>
      <c r="U371" t="s">
        <v>903</v>
      </c>
      <c r="V371" t="s">
        <v>1505</v>
      </c>
      <c r="W371" t="s">
        <v>586</v>
      </c>
      <c r="X371" t="s">
        <v>564</v>
      </c>
      <c r="Y371" t="s">
        <v>574</v>
      </c>
      <c r="Z371" t="s">
        <v>574</v>
      </c>
      <c r="AA371" t="s">
        <v>565</v>
      </c>
      <c r="AB371" t="s">
        <v>905</v>
      </c>
      <c r="AC371" t="s">
        <v>588</v>
      </c>
      <c r="AD371" t="s">
        <v>695</v>
      </c>
      <c r="AE371" t="s">
        <v>618</v>
      </c>
      <c r="AF371" t="e">
        <f>IF(AND(HOUR(O371)&gt;=1,HOUR(O371)&lt;=13),VLOOKUP(B371,Programacion!$A$8:$S$1048576,16,FALSE),VLOOKUP(B371,Programacion!$A$8:$S$1048576,18,FALSE))</f>
        <v>#N/A</v>
      </c>
      <c r="AG371" t="e">
        <f>IF(AND(HOUR(O371)&gt;=1,HOUR(O371)&lt;=13),VLOOKUP(B371,Programacion!$A$8:$S$1048576,17,FALSE),VLOOKUP(B371,Programacion!$A$8:$S$1048576,19,FALSE))</f>
        <v>#N/A</v>
      </c>
    </row>
    <row r="372" spans="1:33" x14ac:dyDescent="0.25">
      <c r="A372" s="33" t="s">
        <v>185</v>
      </c>
      <c r="B372" t="s">
        <v>476</v>
      </c>
      <c r="C372" t="s">
        <v>1506</v>
      </c>
      <c r="D372" t="s">
        <v>557</v>
      </c>
      <c r="E372" t="s">
        <v>558</v>
      </c>
      <c r="F372" t="s">
        <v>1507</v>
      </c>
      <c r="G372" t="s">
        <v>560</v>
      </c>
      <c r="H372" t="s">
        <v>561</v>
      </c>
      <c r="I372" t="s">
        <v>1508</v>
      </c>
      <c r="L372" t="s">
        <v>737</v>
      </c>
      <c r="M372" t="s">
        <v>564</v>
      </c>
      <c r="N372" t="s">
        <v>573</v>
      </c>
      <c r="O372" t="s">
        <v>609</v>
      </c>
      <c r="P372" t="s">
        <v>642</v>
      </c>
      <c r="Q372" t="s">
        <v>704</v>
      </c>
      <c r="R372" t="s">
        <v>704</v>
      </c>
      <c r="S372" t="s">
        <v>1259</v>
      </c>
      <c r="T372" t="s">
        <v>1509</v>
      </c>
      <c r="U372" t="s">
        <v>680</v>
      </c>
      <c r="V372" t="s">
        <v>1510</v>
      </c>
      <c r="W372" t="s">
        <v>586</v>
      </c>
      <c r="X372" t="s">
        <v>564</v>
      </c>
      <c r="Y372" t="s">
        <v>574</v>
      </c>
      <c r="Z372" t="s">
        <v>574</v>
      </c>
      <c r="AA372" t="s">
        <v>565</v>
      </c>
      <c r="AB372" t="s">
        <v>683</v>
      </c>
      <c r="AC372" t="s">
        <v>576</v>
      </c>
      <c r="AD372" t="s">
        <v>869</v>
      </c>
      <c r="AE372" t="s">
        <v>600</v>
      </c>
      <c r="AF372" t="str">
        <f>IF(AND(HOUR(O372)&gt;=1,HOUR(O372)&lt;=13),VLOOKUP(B372,Programacion!$A$8:$S$1048576,16,FALSE),VLOOKUP(B372,Programacion!$A$8:$S$1048576,18,FALSE))</f>
        <v xml:space="preserve">  2302</v>
      </c>
      <c r="AG372" t="str">
        <f>IF(AND(HOUR(O372)&gt;=1,HOUR(O372)&lt;=13),VLOOKUP(B372,Programacion!$A$8:$S$1048576,17,FALSE),VLOOKUP(B372,Programacion!$A$8:$S$1048576,19,FALSE))</f>
        <v>GB01</v>
      </c>
    </row>
    <row r="373" spans="1:33" x14ac:dyDescent="0.25">
      <c r="A373" s="33" t="s">
        <v>185</v>
      </c>
      <c r="B373" t="s">
        <v>476</v>
      </c>
      <c r="C373" t="s">
        <v>1506</v>
      </c>
      <c r="D373" t="s">
        <v>557</v>
      </c>
      <c r="E373" t="s">
        <v>558</v>
      </c>
      <c r="F373" t="s">
        <v>1507</v>
      </c>
      <c r="G373" t="s">
        <v>560</v>
      </c>
      <c r="H373" t="s">
        <v>561</v>
      </c>
      <c r="I373" t="s">
        <v>1508</v>
      </c>
      <c r="L373" t="s">
        <v>737</v>
      </c>
      <c r="M373" t="s">
        <v>564</v>
      </c>
      <c r="N373" t="s">
        <v>573</v>
      </c>
      <c r="O373" t="s">
        <v>609</v>
      </c>
      <c r="P373" t="s">
        <v>642</v>
      </c>
      <c r="Q373" t="s">
        <v>704</v>
      </c>
      <c r="R373" t="s">
        <v>704</v>
      </c>
      <c r="S373" t="s">
        <v>1259</v>
      </c>
      <c r="T373" t="s">
        <v>1509</v>
      </c>
      <c r="U373" t="s">
        <v>680</v>
      </c>
      <c r="V373" t="s">
        <v>1510</v>
      </c>
      <c r="W373" t="s">
        <v>586</v>
      </c>
      <c r="X373" t="s">
        <v>564</v>
      </c>
      <c r="Y373" t="s">
        <v>574</v>
      </c>
      <c r="Z373" t="s">
        <v>574</v>
      </c>
      <c r="AA373" t="s">
        <v>565</v>
      </c>
      <c r="AB373" t="s">
        <v>683</v>
      </c>
      <c r="AC373" t="s">
        <v>588</v>
      </c>
      <c r="AD373" t="s">
        <v>599</v>
      </c>
      <c r="AE373" t="s">
        <v>651</v>
      </c>
      <c r="AF373" t="str">
        <f>IF(AND(HOUR(O373)&gt;=1,HOUR(O373)&lt;=13),VLOOKUP(B373,Programacion!$A$8:$S$1048576,16,FALSE),VLOOKUP(B373,Programacion!$A$8:$S$1048576,18,FALSE))</f>
        <v xml:space="preserve">  2302</v>
      </c>
      <c r="AG373" t="str">
        <f>IF(AND(HOUR(O373)&gt;=1,HOUR(O373)&lt;=13),VLOOKUP(B373,Programacion!$A$8:$S$1048576,17,FALSE),VLOOKUP(B373,Programacion!$A$8:$S$1048576,19,FALSE))</f>
        <v>GB01</v>
      </c>
    </row>
    <row r="374" spans="1:33" x14ac:dyDescent="0.25">
      <c r="A374" s="33" t="s">
        <v>185</v>
      </c>
      <c r="B374" t="s">
        <v>476</v>
      </c>
      <c r="C374" t="s">
        <v>1506</v>
      </c>
      <c r="D374" t="s">
        <v>557</v>
      </c>
      <c r="E374" t="s">
        <v>558</v>
      </c>
      <c r="F374" t="s">
        <v>1507</v>
      </c>
      <c r="G374" t="s">
        <v>560</v>
      </c>
      <c r="H374" t="s">
        <v>561</v>
      </c>
      <c r="I374" t="s">
        <v>1508</v>
      </c>
      <c r="L374" t="s">
        <v>737</v>
      </c>
      <c r="M374" t="s">
        <v>564</v>
      </c>
      <c r="N374" t="s">
        <v>573</v>
      </c>
      <c r="O374" t="s">
        <v>609</v>
      </c>
      <c r="P374" t="s">
        <v>642</v>
      </c>
      <c r="Q374" t="s">
        <v>704</v>
      </c>
      <c r="R374" t="s">
        <v>704</v>
      </c>
      <c r="S374" t="s">
        <v>1259</v>
      </c>
      <c r="T374" t="s">
        <v>1509</v>
      </c>
      <c r="U374" t="s">
        <v>680</v>
      </c>
      <c r="V374" t="s">
        <v>1510</v>
      </c>
      <c r="W374" t="s">
        <v>586</v>
      </c>
      <c r="X374" t="s">
        <v>564</v>
      </c>
      <c r="Y374" t="s">
        <v>574</v>
      </c>
      <c r="Z374" t="s">
        <v>574</v>
      </c>
      <c r="AA374" t="s">
        <v>565</v>
      </c>
      <c r="AB374" t="s">
        <v>683</v>
      </c>
      <c r="AC374" t="s">
        <v>598</v>
      </c>
      <c r="AD374" t="s">
        <v>695</v>
      </c>
      <c r="AE374" t="s">
        <v>647</v>
      </c>
      <c r="AF374" t="str">
        <f>IF(AND(HOUR(O374)&gt;=1,HOUR(O374)&lt;=13),VLOOKUP(B374,Programacion!$A$8:$S$1048576,16,FALSE),VLOOKUP(B374,Programacion!$A$8:$S$1048576,18,FALSE))</f>
        <v xml:space="preserve">  2302</v>
      </c>
      <c r="AG374" t="str">
        <f>IF(AND(HOUR(O374)&gt;=1,HOUR(O374)&lt;=13),VLOOKUP(B374,Programacion!$A$8:$S$1048576,17,FALSE),VLOOKUP(B374,Programacion!$A$8:$S$1048576,19,FALSE))</f>
        <v>GB01</v>
      </c>
    </row>
    <row r="375" spans="1:33" x14ac:dyDescent="0.25">
      <c r="A375" s="33" t="s">
        <v>185</v>
      </c>
      <c r="B375" t="s">
        <v>476</v>
      </c>
      <c r="C375" t="s">
        <v>1506</v>
      </c>
      <c r="D375" t="s">
        <v>557</v>
      </c>
      <c r="E375" t="s">
        <v>558</v>
      </c>
      <c r="F375" t="s">
        <v>1507</v>
      </c>
      <c r="G375" t="s">
        <v>560</v>
      </c>
      <c r="H375" t="s">
        <v>561</v>
      </c>
      <c r="I375" t="s">
        <v>1508</v>
      </c>
      <c r="L375" t="s">
        <v>737</v>
      </c>
      <c r="M375" t="s">
        <v>564</v>
      </c>
      <c r="N375" t="s">
        <v>573</v>
      </c>
      <c r="O375" t="s">
        <v>609</v>
      </c>
      <c r="P375" t="s">
        <v>642</v>
      </c>
      <c r="Q375" t="s">
        <v>704</v>
      </c>
      <c r="R375" t="s">
        <v>704</v>
      </c>
      <c r="S375" t="s">
        <v>1259</v>
      </c>
      <c r="T375" t="s">
        <v>1509</v>
      </c>
      <c r="U375" t="s">
        <v>680</v>
      </c>
      <c r="V375" t="s">
        <v>1510</v>
      </c>
      <c r="W375" t="s">
        <v>586</v>
      </c>
      <c r="X375" t="s">
        <v>564</v>
      </c>
      <c r="Y375" t="s">
        <v>574</v>
      </c>
      <c r="Z375" t="s">
        <v>574</v>
      </c>
      <c r="AA375" t="s">
        <v>565</v>
      </c>
      <c r="AB375" t="s">
        <v>683</v>
      </c>
      <c r="AC375" t="s">
        <v>596</v>
      </c>
      <c r="AD375" t="s">
        <v>589</v>
      </c>
      <c r="AE375" t="s">
        <v>663</v>
      </c>
      <c r="AF375" t="str">
        <f>IF(AND(HOUR(O375)&gt;=1,HOUR(O375)&lt;=13),VLOOKUP(B375,Programacion!$A$8:$S$1048576,16,FALSE),VLOOKUP(B375,Programacion!$A$8:$S$1048576,18,FALSE))</f>
        <v xml:space="preserve">  2302</v>
      </c>
      <c r="AG375" t="str">
        <f>IF(AND(HOUR(O375)&gt;=1,HOUR(O375)&lt;=13),VLOOKUP(B375,Programacion!$A$8:$S$1048576,17,FALSE),VLOOKUP(B375,Programacion!$A$8:$S$1048576,19,FALSE))</f>
        <v>GB01</v>
      </c>
    </row>
    <row r="376" spans="1:33" x14ac:dyDescent="0.25">
      <c r="A376" s="33" t="s">
        <v>185</v>
      </c>
      <c r="B376" t="s">
        <v>476</v>
      </c>
      <c r="C376" t="s">
        <v>1506</v>
      </c>
      <c r="D376" t="s">
        <v>557</v>
      </c>
      <c r="E376" t="s">
        <v>558</v>
      </c>
      <c r="F376" t="s">
        <v>1507</v>
      </c>
      <c r="G376" t="s">
        <v>560</v>
      </c>
      <c r="H376" t="s">
        <v>561</v>
      </c>
      <c r="I376" t="s">
        <v>1508</v>
      </c>
      <c r="L376" t="s">
        <v>737</v>
      </c>
      <c r="M376" t="s">
        <v>564</v>
      </c>
      <c r="N376" t="s">
        <v>573</v>
      </c>
      <c r="O376" t="s">
        <v>609</v>
      </c>
      <c r="P376" t="s">
        <v>642</v>
      </c>
      <c r="Q376" t="s">
        <v>704</v>
      </c>
      <c r="R376" t="s">
        <v>704</v>
      </c>
      <c r="S376" t="s">
        <v>1259</v>
      </c>
      <c r="T376" t="s">
        <v>1511</v>
      </c>
      <c r="U376" t="s">
        <v>1485</v>
      </c>
      <c r="V376" t="s">
        <v>1512</v>
      </c>
      <c r="W376" t="s">
        <v>1091</v>
      </c>
      <c r="X376" t="s">
        <v>564</v>
      </c>
      <c r="Y376" t="s">
        <v>574</v>
      </c>
      <c r="Z376" t="s">
        <v>574</v>
      </c>
      <c r="AA376" t="s">
        <v>565</v>
      </c>
      <c r="AB376" t="s">
        <v>1249</v>
      </c>
      <c r="AC376" t="s">
        <v>576</v>
      </c>
      <c r="AD376" t="s">
        <v>869</v>
      </c>
      <c r="AE376" t="s">
        <v>618</v>
      </c>
      <c r="AF376" t="str">
        <f>IF(AND(HOUR(O376)&gt;=1,HOUR(O376)&lt;=13),VLOOKUP(B376,Programacion!$A$8:$S$1048576,16,FALSE),VLOOKUP(B376,Programacion!$A$8:$S$1048576,18,FALSE))</f>
        <v xml:space="preserve">  2302</v>
      </c>
      <c r="AG376" t="str">
        <f>IF(AND(HOUR(O376)&gt;=1,HOUR(O376)&lt;=13),VLOOKUP(B376,Programacion!$A$8:$S$1048576,17,FALSE),VLOOKUP(B376,Programacion!$A$8:$S$1048576,19,FALSE))</f>
        <v>GB01</v>
      </c>
    </row>
    <row r="377" spans="1:33" x14ac:dyDescent="0.25">
      <c r="A377" s="33" t="s">
        <v>185</v>
      </c>
      <c r="B377" t="s">
        <v>476</v>
      </c>
      <c r="C377" t="s">
        <v>1506</v>
      </c>
      <c r="D377" t="s">
        <v>557</v>
      </c>
      <c r="E377" t="s">
        <v>558</v>
      </c>
      <c r="F377" t="s">
        <v>1507</v>
      </c>
      <c r="G377" t="s">
        <v>560</v>
      </c>
      <c r="H377" t="s">
        <v>561</v>
      </c>
      <c r="I377" t="s">
        <v>1508</v>
      </c>
      <c r="L377" t="s">
        <v>737</v>
      </c>
      <c r="M377" t="s">
        <v>564</v>
      </c>
      <c r="N377" t="s">
        <v>573</v>
      </c>
      <c r="O377" t="s">
        <v>609</v>
      </c>
      <c r="P377" t="s">
        <v>642</v>
      </c>
      <c r="Q377" t="s">
        <v>704</v>
      </c>
      <c r="R377" t="s">
        <v>704</v>
      </c>
      <c r="S377" t="s">
        <v>1259</v>
      </c>
      <c r="T377" t="s">
        <v>1511</v>
      </c>
      <c r="U377" t="s">
        <v>1485</v>
      </c>
      <c r="V377" t="s">
        <v>1512</v>
      </c>
      <c r="W377" t="s">
        <v>1091</v>
      </c>
      <c r="X377" t="s">
        <v>564</v>
      </c>
      <c r="Y377" t="s">
        <v>574</v>
      </c>
      <c r="Z377" t="s">
        <v>574</v>
      </c>
      <c r="AA377" t="s">
        <v>565</v>
      </c>
      <c r="AB377" t="s">
        <v>1249</v>
      </c>
      <c r="AC377" t="s">
        <v>596</v>
      </c>
      <c r="AD377" t="s">
        <v>798</v>
      </c>
      <c r="AE377" t="s">
        <v>696</v>
      </c>
      <c r="AF377" t="str">
        <f>IF(AND(HOUR(O377)&gt;=1,HOUR(O377)&lt;=13),VLOOKUP(B377,Programacion!$A$8:$S$1048576,16,FALSE),VLOOKUP(B377,Programacion!$A$8:$S$1048576,18,FALSE))</f>
        <v xml:space="preserve">  2302</v>
      </c>
      <c r="AG377" t="str">
        <f>IF(AND(HOUR(O377)&gt;=1,HOUR(O377)&lt;=13),VLOOKUP(B377,Programacion!$A$8:$S$1048576,17,FALSE),VLOOKUP(B377,Programacion!$A$8:$S$1048576,19,FALSE))</f>
        <v>GB01</v>
      </c>
    </row>
  </sheetData>
  <pageMargins left="0.7" right="0.7" top="0.75" bottom="0.75" header="0.3" footer="0.3"/>
  <pageSetup orientation="portrait" horizontalDpi="90" verticalDpi="90" r:id="rId1"/>
  <headerFooter>
    <oddHeader>&amp;R&amp;"Calibri"&amp;10&amp;K000000Documento: YPF-Público&amp;1#</oddHeader>
    <oddFooter>&amp;R&amp;1#&amp;"Calibri"&amp;10&amp;K000000Documento: YPF-Público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AI93"/>
  <sheetViews>
    <sheetView tabSelected="1" zoomScale="91" zoomScaleNormal="91" workbookViewId="0">
      <pane xSplit="1" ySplit="8" topLeftCell="O31" activePane="bottomRight" state="frozen"/>
      <selection pane="topRight" activeCell="F1" sqref="F1"/>
      <selection pane="bottomLeft" activeCell="A13" sqref="A13"/>
      <selection pane="bottomRight" activeCell="U41" sqref="U41"/>
    </sheetView>
  </sheetViews>
  <sheetFormatPr baseColWidth="10" defaultColWidth="11.42578125" defaultRowHeight="12.75" x14ac:dyDescent="0.2"/>
  <cols>
    <col min="1" max="1" width="12.42578125" style="1" customWidth="1"/>
    <col min="2" max="2" width="21" style="1" hidden="1" customWidth="1"/>
    <col min="3" max="3" width="29" style="1" hidden="1" customWidth="1"/>
    <col min="4" max="4" width="12.85546875" style="1" hidden="1" customWidth="1"/>
    <col min="5" max="5" width="12.5703125" style="1" hidden="1" customWidth="1"/>
    <col min="6" max="7" width="15.85546875" style="1" hidden="1" customWidth="1"/>
    <col min="8" max="8" width="13.28515625" style="14" bestFit="1" customWidth="1"/>
    <col min="9" max="9" width="7.140625" style="1" customWidth="1"/>
    <col min="10" max="10" width="8.28515625" style="1" customWidth="1"/>
    <col min="11" max="11" width="13.85546875" style="55" customWidth="1"/>
    <col min="12" max="12" width="19.5703125" style="1" bestFit="1" customWidth="1"/>
    <col min="13" max="13" width="15.140625" style="1" bestFit="1" customWidth="1"/>
    <col min="14" max="14" width="33.28515625" style="1" bestFit="1" customWidth="1"/>
    <col min="15" max="15" width="32" style="1" bestFit="1" customWidth="1"/>
    <col min="16" max="16" width="21.42578125" style="1" customWidth="1"/>
    <col min="17" max="17" width="18.85546875" style="1" customWidth="1"/>
    <col min="18" max="18" width="19.7109375" style="1" customWidth="1"/>
    <col min="19" max="19" width="19.28515625" style="1" customWidth="1"/>
    <col min="20" max="20" width="27.5703125" style="34" bestFit="1" customWidth="1"/>
    <col min="21" max="35" width="11.42578125" style="34"/>
    <col min="36" max="16384" width="11.42578125" style="1"/>
  </cols>
  <sheetData>
    <row r="1" spans="1:35" ht="15.75" thickBot="1" x14ac:dyDescent="0.3">
      <c r="G1" s="2" t="s">
        <v>15</v>
      </c>
      <c r="L1" s="39" t="s">
        <v>13</v>
      </c>
    </row>
    <row r="2" spans="1:35" ht="15.75" thickBot="1" x14ac:dyDescent="0.3">
      <c r="L2" s="40" t="s">
        <v>1553</v>
      </c>
    </row>
    <row r="3" spans="1:35" ht="15.75" thickBot="1" x14ac:dyDescent="0.3">
      <c r="G3" s="17">
        <v>45016</v>
      </c>
      <c r="L3" s="40" t="s">
        <v>14</v>
      </c>
    </row>
    <row r="4" spans="1:35" ht="15.75" thickBot="1" x14ac:dyDescent="0.3">
      <c r="C4" s="3" t="s">
        <v>2</v>
      </c>
      <c r="D4" s="11"/>
      <c r="E4" s="4"/>
      <c r="F4" s="5"/>
      <c r="G4" s="13" t="s">
        <v>1611</v>
      </c>
      <c r="H4" s="15"/>
      <c r="L4" s="40" t="s">
        <v>1554</v>
      </c>
    </row>
    <row r="5" spans="1:35" ht="14.45" customHeight="1" x14ac:dyDescent="0.25">
      <c r="C5" s="6" t="s">
        <v>0</v>
      </c>
      <c r="D5" s="7"/>
      <c r="E5" s="7"/>
      <c r="F5" s="8"/>
      <c r="H5" s="15"/>
      <c r="L5" s="40" t="s">
        <v>1555</v>
      </c>
    </row>
    <row r="6" spans="1:35" ht="12" customHeight="1" thickBot="1" x14ac:dyDescent="0.3">
      <c r="C6" s="6" t="s">
        <v>1</v>
      </c>
      <c r="D6" s="7"/>
      <c r="E6" s="7"/>
      <c r="F6" s="8"/>
      <c r="L6" s="41" t="s">
        <v>1556</v>
      </c>
    </row>
    <row r="7" spans="1:35" x14ac:dyDescent="0.2">
      <c r="C7" s="6" t="s">
        <v>9</v>
      </c>
      <c r="D7" s="7"/>
      <c r="E7" s="7"/>
      <c r="F7" s="8"/>
      <c r="I7" s="1">
        <f>COUNTA(I9:I65)</f>
        <v>46</v>
      </c>
      <c r="J7" s="1">
        <f>COUNTA(J9:J66)</f>
        <v>39</v>
      </c>
    </row>
    <row r="8" spans="1:35" ht="13.5" thickBot="1" x14ac:dyDescent="0.25">
      <c r="A8" s="9" t="s">
        <v>3</v>
      </c>
      <c r="B8" s="9" t="s">
        <v>5</v>
      </c>
      <c r="C8" s="9" t="s">
        <v>6</v>
      </c>
      <c r="D8" s="12" t="s">
        <v>11</v>
      </c>
      <c r="E8" s="9" t="s">
        <v>12</v>
      </c>
      <c r="F8" s="9" t="s">
        <v>10</v>
      </c>
      <c r="G8" s="9" t="s">
        <v>8</v>
      </c>
      <c r="H8" s="16" t="s">
        <v>7</v>
      </c>
      <c r="I8" s="9"/>
      <c r="J8" s="9"/>
      <c r="K8" s="9" t="s">
        <v>1601</v>
      </c>
      <c r="L8" s="9" t="s">
        <v>4</v>
      </c>
      <c r="M8" s="49" t="s">
        <v>23</v>
      </c>
      <c r="N8" s="32" t="s">
        <v>200</v>
      </c>
      <c r="O8" s="32" t="s">
        <v>201</v>
      </c>
      <c r="P8" s="32" t="s">
        <v>466</v>
      </c>
      <c r="Q8" s="32" t="s">
        <v>467</v>
      </c>
      <c r="R8" s="32" t="s">
        <v>468</v>
      </c>
      <c r="S8" s="32" t="s">
        <v>469</v>
      </c>
      <c r="T8" s="32" t="s">
        <v>1613</v>
      </c>
      <c r="U8" s="32" t="s">
        <v>1614</v>
      </c>
      <c r="V8" s="32" t="s">
        <v>1615</v>
      </c>
    </row>
    <row r="9" spans="1:35" s="35" customFormat="1" ht="15" customHeight="1" thickBot="1" x14ac:dyDescent="0.25">
      <c r="A9" s="42" t="s">
        <v>471</v>
      </c>
      <c r="B9" s="18" t="s">
        <v>25</v>
      </c>
      <c r="C9" s="19">
        <v>25529278</v>
      </c>
      <c r="D9" s="21" t="s">
        <v>90</v>
      </c>
      <c r="E9" s="21" t="s">
        <v>91</v>
      </c>
      <c r="F9" s="22">
        <v>36000</v>
      </c>
      <c r="G9" s="22" t="s">
        <v>16</v>
      </c>
      <c r="H9" s="43">
        <v>4.1666666666666664E-2</v>
      </c>
      <c r="I9" s="20" t="s">
        <v>81</v>
      </c>
      <c r="J9" s="20"/>
      <c r="K9" s="56" t="s">
        <v>1602</v>
      </c>
      <c r="L9" s="52" t="s">
        <v>13</v>
      </c>
      <c r="M9" s="50" t="s">
        <v>24</v>
      </c>
      <c r="N9" s="51" t="s">
        <v>287</v>
      </c>
      <c r="O9" s="51"/>
      <c r="P9" s="35" t="str">
        <f>VLOOKUP(N9,Choferes!$A$2:$C$200,3)</f>
        <v xml:space="preserve">  1327</v>
      </c>
      <c r="Q9" s="35" t="str">
        <f>VLOOKUP(N9,Choferes!$A$2:$C$200,2)</f>
        <v>GB01</v>
      </c>
      <c r="R9" s="35" t="e">
        <f>VLOOKUP(O9,Choferes!$A$2:$C$200,3)</f>
        <v>#N/A</v>
      </c>
      <c r="S9" s="35" t="e">
        <f>VLOOKUP(O9,Choferes!$A$2:$C$200,2)</f>
        <v>#N/A</v>
      </c>
      <c r="T9" s="34">
        <f>VLOOKUP(N9,Choferes!$A$2:$E$163,5)</f>
        <v>31464716</v>
      </c>
      <c r="U9" s="34" t="e">
        <f>VLOOKUP(O9,Choferes!$A$2:$E$163,5)</f>
        <v>#N/A</v>
      </c>
      <c r="V9" s="34">
        <f>IF(L9=$L$1,2,IF(L9=$L$2,6,IF(L9=$L$3,5,IF(L9=$L$4,8,IF(L9=$L$5,4,IF(L9=$L$6,7))))))</f>
        <v>2</v>
      </c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</row>
    <row r="10" spans="1:35" s="35" customFormat="1" ht="15" customHeight="1" thickBot="1" x14ac:dyDescent="0.25">
      <c r="A10" s="42" t="s">
        <v>472</v>
      </c>
      <c r="B10" s="18" t="s">
        <v>92</v>
      </c>
      <c r="C10" s="19" t="s">
        <v>93</v>
      </c>
      <c r="D10" s="21" t="s">
        <v>189</v>
      </c>
      <c r="E10" s="21" t="s">
        <v>94</v>
      </c>
      <c r="F10" s="22">
        <v>36000</v>
      </c>
      <c r="G10" s="23" t="s">
        <v>19</v>
      </c>
      <c r="H10" s="43">
        <v>0.625</v>
      </c>
      <c r="I10" s="20" t="s">
        <v>81</v>
      </c>
      <c r="J10" s="20" t="s">
        <v>81</v>
      </c>
      <c r="K10" s="56" t="s">
        <v>1602</v>
      </c>
      <c r="L10" s="52" t="s">
        <v>13</v>
      </c>
      <c r="M10" s="50" t="s">
        <v>24</v>
      </c>
      <c r="N10" s="51" t="s">
        <v>309</v>
      </c>
      <c r="O10" s="51" t="s">
        <v>291</v>
      </c>
      <c r="P10" s="35" t="str">
        <f>VLOOKUP(N10,Choferes!$A$2:$C$200,3)</f>
        <v xml:space="preserve">  1406</v>
      </c>
      <c r="Q10" s="35" t="str">
        <f>VLOOKUP(N10,Choferes!$A$2:$C$200,2)</f>
        <v>GB01</v>
      </c>
      <c r="R10" s="35" t="str">
        <f>VLOOKUP(O10,Choferes!$A$2:$C$200,3)</f>
        <v xml:space="preserve">  1343</v>
      </c>
      <c r="S10" s="35" t="str">
        <f>VLOOKUP(O10,Choferes!$A$2:$C$200,2)</f>
        <v>GB01</v>
      </c>
      <c r="T10" s="34">
        <f>VLOOKUP(N10,Choferes!$A$2:$E$163,5)</f>
        <v>29364967</v>
      </c>
      <c r="U10" s="34">
        <f>VLOOKUP(O10,Choferes!$A$2:$E$163,5)</f>
        <v>34265153</v>
      </c>
      <c r="V10" s="34">
        <f t="shared" ref="V10:V67" si="0">IF(L10=$L$1,2,IF(L10=$L$2,6,IF(L10=$L$3,5,IF(L10=$L$4,8,IF(L10=$L$5,4,IF(L10=$L$6,7))))))</f>
        <v>2</v>
      </c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</row>
    <row r="11" spans="1:35" s="35" customFormat="1" ht="15" customHeight="1" thickBot="1" x14ac:dyDescent="0.25">
      <c r="A11" s="42" t="s">
        <v>473</v>
      </c>
      <c r="B11" s="18" t="s">
        <v>95</v>
      </c>
      <c r="C11" s="19">
        <v>28414523</v>
      </c>
      <c r="D11" s="20" t="s">
        <v>96</v>
      </c>
      <c r="E11" s="21" t="s">
        <v>97</v>
      </c>
      <c r="F11" s="22">
        <v>36000</v>
      </c>
      <c r="G11" s="22" t="s">
        <v>26</v>
      </c>
      <c r="H11" s="43">
        <v>0.625</v>
      </c>
      <c r="I11" s="20"/>
      <c r="J11" s="20" t="s">
        <v>81</v>
      </c>
      <c r="K11" s="56" t="s">
        <v>1602</v>
      </c>
      <c r="L11" s="52" t="s">
        <v>13</v>
      </c>
      <c r="M11" s="50" t="s">
        <v>24</v>
      </c>
      <c r="N11" s="51"/>
      <c r="O11" s="51" t="s">
        <v>273</v>
      </c>
      <c r="P11" s="35" t="str">
        <f>VLOOKUP(N23,Choferes!$A$2:$C$200,3)</f>
        <v xml:space="preserve">  1432</v>
      </c>
      <c r="Q11" s="35" t="str">
        <f>VLOOKUP(N23,Choferes!$A$2:$C$200,2)</f>
        <v>GB01</v>
      </c>
      <c r="R11" s="35" t="str">
        <f>VLOOKUP(O11,Choferes!$A$2:$C$200,3)</f>
        <v xml:space="preserve">  1231</v>
      </c>
      <c r="S11" s="35" t="str">
        <f>VLOOKUP(O11,Choferes!$A$2:$C$200,2)</f>
        <v>GB01</v>
      </c>
      <c r="T11" s="34" t="e">
        <f>VLOOKUP(N11,Choferes!$A$2:$E$163,5)</f>
        <v>#N/A</v>
      </c>
      <c r="U11" s="34">
        <f>VLOOKUP(O11,Choferes!$A$2:$E$163,5)</f>
        <v>25129065</v>
      </c>
      <c r="V11" s="34">
        <f t="shared" si="0"/>
        <v>2</v>
      </c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</row>
    <row r="12" spans="1:35" s="35" customFormat="1" ht="15" customHeight="1" thickBot="1" x14ac:dyDescent="0.25">
      <c r="A12" s="42" t="s">
        <v>474</v>
      </c>
      <c r="B12" s="18" t="s">
        <v>21</v>
      </c>
      <c r="C12" s="19" t="s">
        <v>98</v>
      </c>
      <c r="D12" s="20" t="s">
        <v>82</v>
      </c>
      <c r="E12" s="21" t="s">
        <v>99</v>
      </c>
      <c r="F12" s="22">
        <v>36000</v>
      </c>
      <c r="G12" s="22" t="s">
        <v>16</v>
      </c>
      <c r="H12" s="43">
        <v>4.1666666666666664E-2</v>
      </c>
      <c r="I12" s="20" t="s">
        <v>81</v>
      </c>
      <c r="J12" s="20"/>
      <c r="K12" s="56" t="s">
        <v>1602</v>
      </c>
      <c r="L12" s="52" t="s">
        <v>13</v>
      </c>
      <c r="M12" s="50" t="s">
        <v>24</v>
      </c>
      <c r="N12" s="51" t="s">
        <v>263</v>
      </c>
      <c r="O12" s="51"/>
      <c r="P12" s="35" t="str">
        <f>VLOOKUP(N50,Choferes!$A$2:$C$200,3)</f>
        <v xml:space="preserve">  1470</v>
      </c>
      <c r="Q12" s="35" t="str">
        <f>VLOOKUP(N50,Choferes!$A$2:$C$200,2)</f>
        <v>GB01</v>
      </c>
      <c r="R12" s="35" t="e">
        <f>VLOOKUP(O12,Choferes!$A$2:$C$200,3)</f>
        <v>#N/A</v>
      </c>
      <c r="S12" s="35" t="e">
        <f>VLOOKUP(O12,Choferes!$A$2:$C$200,2)</f>
        <v>#N/A</v>
      </c>
      <c r="T12" s="34">
        <f>VLOOKUP(N12,Choferes!$A$2:$E$163,5)</f>
        <v>25050667</v>
      </c>
      <c r="U12" s="34" t="e">
        <f>VLOOKUP(O12,Choferes!$A$2:$E$163,5)</f>
        <v>#N/A</v>
      </c>
      <c r="V12" s="34">
        <f t="shared" si="0"/>
        <v>2</v>
      </c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</row>
    <row r="13" spans="1:35" s="35" customFormat="1" ht="15" customHeight="1" thickBot="1" x14ac:dyDescent="0.25">
      <c r="A13" s="42" t="s">
        <v>475</v>
      </c>
      <c r="B13" s="18" t="s">
        <v>30</v>
      </c>
      <c r="C13" s="19">
        <v>34021625</v>
      </c>
      <c r="D13" s="20" t="s">
        <v>100</v>
      </c>
      <c r="E13" s="21" t="s">
        <v>101</v>
      </c>
      <c r="F13" s="22">
        <v>36000</v>
      </c>
      <c r="G13" s="22" t="s">
        <v>26</v>
      </c>
      <c r="H13" s="43">
        <v>0.125</v>
      </c>
      <c r="I13" s="20" t="s">
        <v>81</v>
      </c>
      <c r="J13" s="20"/>
      <c r="K13" s="56" t="s">
        <v>1602</v>
      </c>
      <c r="L13" s="52" t="s">
        <v>13</v>
      </c>
      <c r="M13" s="50" t="s">
        <v>24</v>
      </c>
      <c r="N13" s="51" t="s">
        <v>1515</v>
      </c>
      <c r="O13" s="51"/>
      <c r="P13" s="35" t="str">
        <f>VLOOKUP(N13,Choferes!$A$2:$C$200,3)</f>
        <v xml:space="preserve">   318</v>
      </c>
      <c r="Q13" s="35" t="str">
        <f>VLOOKUP(N13,Choferes!$A$2:$C$200,2)</f>
        <v>GB01</v>
      </c>
      <c r="R13" s="35" t="e">
        <f>VLOOKUP(O13,Choferes!$A$2:$C$200,3)</f>
        <v>#N/A</v>
      </c>
      <c r="S13" s="35" t="e">
        <f>VLOOKUP(O13,Choferes!$A$2:$C$200,2)</f>
        <v>#N/A</v>
      </c>
      <c r="T13" s="34">
        <f>VLOOKUP(N13,Choferes!$A$2:$E$163,5)</f>
        <v>20628320</v>
      </c>
      <c r="U13" s="34" t="e">
        <f>VLOOKUP(O13,Choferes!$A$2:$E$163,5)</f>
        <v>#N/A</v>
      </c>
      <c r="V13" s="34">
        <f t="shared" si="0"/>
        <v>2</v>
      </c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</row>
    <row r="14" spans="1:35" s="35" customFormat="1" ht="15" customHeight="1" thickBot="1" x14ac:dyDescent="0.25">
      <c r="A14" s="44" t="s">
        <v>476</v>
      </c>
      <c r="B14" s="24" t="s">
        <v>102</v>
      </c>
      <c r="C14" s="25" t="s">
        <v>52</v>
      </c>
      <c r="D14" s="26" t="s">
        <v>185</v>
      </c>
      <c r="E14" s="27" t="s">
        <v>103</v>
      </c>
      <c r="F14" s="22">
        <v>36000</v>
      </c>
      <c r="G14" s="28" t="s">
        <v>18</v>
      </c>
      <c r="H14" s="43">
        <v>0.125</v>
      </c>
      <c r="I14" s="20" t="s">
        <v>81</v>
      </c>
      <c r="J14" s="20" t="s">
        <v>81</v>
      </c>
      <c r="K14" s="56" t="s">
        <v>1602</v>
      </c>
      <c r="L14" s="52" t="s">
        <v>13</v>
      </c>
      <c r="M14" s="50" t="s">
        <v>24</v>
      </c>
      <c r="N14" s="51" t="s">
        <v>1607</v>
      </c>
      <c r="O14" s="51" t="s">
        <v>1585</v>
      </c>
      <c r="P14" s="35" t="str">
        <f>VLOOKUP(N14,Choferes!$A$2:$C$200,3)</f>
        <v xml:space="preserve">  2332</v>
      </c>
      <c r="Q14" s="35" t="str">
        <f>VLOOKUP(N14,Choferes!$A$2:$C$200,2)</f>
        <v>GB01</v>
      </c>
      <c r="R14" s="35" t="str">
        <f>VLOOKUP(O14,Choferes!$A$2:$C$200,3)</f>
        <v xml:space="preserve">  2302</v>
      </c>
      <c r="S14" s="35" t="str">
        <f>VLOOKUP(O14,Choferes!$A$2:$C$200,2)</f>
        <v>GB01</v>
      </c>
      <c r="T14" s="34">
        <f>VLOOKUP(N14,Choferes!$A$2:$E$163,5)</f>
        <v>41170197</v>
      </c>
      <c r="U14" s="34">
        <f>VLOOKUP(O14,Choferes!$A$2:$E$163,5)</f>
        <v>36991745</v>
      </c>
      <c r="V14" s="34">
        <f t="shared" si="0"/>
        <v>2</v>
      </c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34"/>
      <c r="AH14" s="34"/>
      <c r="AI14" s="34"/>
    </row>
    <row r="15" spans="1:35" s="35" customFormat="1" ht="15" customHeight="1" thickBot="1" x14ac:dyDescent="0.25">
      <c r="A15" s="44" t="s">
        <v>1537</v>
      </c>
      <c r="B15" s="24"/>
      <c r="C15" s="38"/>
      <c r="D15" s="45" t="s">
        <v>1538</v>
      </c>
      <c r="E15" s="45" t="s">
        <v>1539</v>
      </c>
      <c r="F15" s="22">
        <v>36000</v>
      </c>
      <c r="G15" s="28" t="s">
        <v>18</v>
      </c>
      <c r="H15" s="43"/>
      <c r="I15" s="20"/>
      <c r="J15" s="20"/>
      <c r="K15" s="56" t="s">
        <v>1602</v>
      </c>
      <c r="L15" s="52" t="s">
        <v>14</v>
      </c>
      <c r="M15" s="50" t="s">
        <v>24</v>
      </c>
      <c r="N15" s="51"/>
      <c r="O15" s="51"/>
      <c r="P15" s="35" t="e">
        <f>VLOOKUP(N15,Choferes!$A$2:$C$200,3)</f>
        <v>#N/A</v>
      </c>
      <c r="Q15" s="35" t="e">
        <f>VLOOKUP(N15,Choferes!$A$2:$C$200,2)</f>
        <v>#N/A</v>
      </c>
      <c r="R15" s="35" t="e">
        <f>VLOOKUP(O15,Choferes!$A$2:$C$200,3)</f>
        <v>#N/A</v>
      </c>
      <c r="S15" s="35" t="e">
        <f>VLOOKUP(O15,Choferes!$A$2:$C$200,2)</f>
        <v>#N/A</v>
      </c>
      <c r="T15" s="34" t="e">
        <f>VLOOKUP(N15,Choferes!$A$2:$E$163,5)</f>
        <v>#N/A</v>
      </c>
      <c r="U15" s="34" t="e">
        <f>VLOOKUP(O15,Choferes!$A$2:$E$163,5)</f>
        <v>#N/A</v>
      </c>
      <c r="V15" s="34">
        <f t="shared" si="0"/>
        <v>5</v>
      </c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</row>
    <row r="16" spans="1:35" s="35" customFormat="1" ht="15" customHeight="1" thickBot="1" x14ac:dyDescent="0.25">
      <c r="A16" s="44" t="s">
        <v>477</v>
      </c>
      <c r="B16" s="24" t="s">
        <v>31</v>
      </c>
      <c r="C16" s="25" t="s">
        <v>53</v>
      </c>
      <c r="D16" s="26" t="s">
        <v>186</v>
      </c>
      <c r="E16" s="27" t="s">
        <v>104</v>
      </c>
      <c r="F16" s="22">
        <v>36000</v>
      </c>
      <c r="G16" s="28" t="s">
        <v>18</v>
      </c>
      <c r="H16" s="43">
        <v>0.125</v>
      </c>
      <c r="I16" s="20" t="s">
        <v>81</v>
      </c>
      <c r="J16" s="20" t="s">
        <v>81</v>
      </c>
      <c r="K16" s="56" t="s">
        <v>1602</v>
      </c>
      <c r="L16" s="52" t="s">
        <v>13</v>
      </c>
      <c r="M16" s="50" t="s">
        <v>24</v>
      </c>
      <c r="N16" s="51" t="s">
        <v>211</v>
      </c>
      <c r="O16" s="51" t="s">
        <v>351</v>
      </c>
      <c r="P16" s="35" t="e">
        <f>VLOOKUP(#REF!,Choferes!$A$2:$C$200,3)</f>
        <v>#REF!</v>
      </c>
      <c r="Q16" s="35" t="e">
        <f>VLOOKUP(#REF!,Choferes!$A$2:$C$200,2)</f>
        <v>#REF!</v>
      </c>
      <c r="R16" s="35" t="e">
        <f>VLOOKUP(O21,Choferes!$A$2:$C$200,3)</f>
        <v>#N/A</v>
      </c>
      <c r="S16" s="35" t="e">
        <f>VLOOKUP(O21,Choferes!$A$2:$C$200,2)</f>
        <v>#N/A</v>
      </c>
      <c r="T16" s="34">
        <f>VLOOKUP(N16,Choferes!$A$2:$E$163,5)</f>
        <v>24698699</v>
      </c>
      <c r="U16" s="34">
        <f>VLOOKUP(O16,Choferes!$A$2:$E$163,5)</f>
        <v>17410936</v>
      </c>
      <c r="V16" s="34">
        <f t="shared" si="0"/>
        <v>2</v>
      </c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</row>
    <row r="17" spans="1:35" s="35" customFormat="1" ht="15" customHeight="1" thickBot="1" x14ac:dyDescent="0.25">
      <c r="A17" s="44" t="s">
        <v>478</v>
      </c>
      <c r="B17" s="24"/>
      <c r="C17" s="25"/>
      <c r="D17" s="26" t="s">
        <v>1557</v>
      </c>
      <c r="E17" s="27" t="s">
        <v>105</v>
      </c>
      <c r="F17" s="22">
        <v>36000</v>
      </c>
      <c r="G17" s="28" t="s">
        <v>18</v>
      </c>
      <c r="H17" s="43">
        <v>0.125</v>
      </c>
      <c r="I17" s="20" t="s">
        <v>81</v>
      </c>
      <c r="J17" s="20" t="s">
        <v>81</v>
      </c>
      <c r="K17" s="56" t="s">
        <v>1602</v>
      </c>
      <c r="L17" s="52" t="s">
        <v>13</v>
      </c>
      <c r="M17" s="50" t="s">
        <v>24</v>
      </c>
      <c r="N17" s="51" t="s">
        <v>269</v>
      </c>
      <c r="O17" s="51" t="s">
        <v>1560</v>
      </c>
      <c r="P17" s="35" t="str">
        <f>VLOOKUP(N17,Choferes!$A$2:$C$200,3)</f>
        <v xml:space="preserve">  1208</v>
      </c>
      <c r="Q17" s="35" t="str">
        <f>VLOOKUP(N17,Choferes!$A$2:$C$200,2)</f>
        <v>GB01</v>
      </c>
      <c r="R17" s="35" t="str">
        <f>VLOOKUP(O17,Choferes!$A$2:$C$200,3)</f>
        <v xml:space="preserve">  1166</v>
      </c>
      <c r="S17" s="35" t="str">
        <f>VLOOKUP(O17,Choferes!$A$2:$C$200,2)</f>
        <v>GB01</v>
      </c>
      <c r="T17" s="34">
        <f>VLOOKUP(N17,Choferes!$A$2:$E$163,5)</f>
        <v>24249329</v>
      </c>
      <c r="U17" s="34">
        <f>VLOOKUP(O17,Choferes!$A$2:$E$163,5)</f>
        <v>28876491</v>
      </c>
      <c r="V17" s="34">
        <f t="shared" si="0"/>
        <v>2</v>
      </c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</row>
    <row r="18" spans="1:35" s="35" customFormat="1" ht="15" customHeight="1" thickBot="1" x14ac:dyDescent="0.25">
      <c r="A18" s="44" t="s">
        <v>479</v>
      </c>
      <c r="B18" s="24" t="s">
        <v>39</v>
      </c>
      <c r="C18" s="25" t="s">
        <v>55</v>
      </c>
      <c r="D18" s="26" t="s">
        <v>193</v>
      </c>
      <c r="E18" s="27" t="s">
        <v>106</v>
      </c>
      <c r="F18" s="22">
        <v>36000</v>
      </c>
      <c r="G18" s="28" t="s">
        <v>18</v>
      </c>
      <c r="H18" s="43">
        <v>0.125</v>
      </c>
      <c r="I18" s="46" t="s">
        <v>81</v>
      </c>
      <c r="J18" s="20" t="s">
        <v>81</v>
      </c>
      <c r="K18" s="56" t="s">
        <v>1602</v>
      </c>
      <c r="L18" s="52" t="s">
        <v>13</v>
      </c>
      <c r="M18" s="50" t="s">
        <v>24</v>
      </c>
      <c r="N18" s="51" t="s">
        <v>1536</v>
      </c>
      <c r="O18" s="51" t="s">
        <v>367</v>
      </c>
      <c r="P18" s="35" t="str">
        <f>VLOOKUP(N18,Choferes!$A$2:$C$200,3)</f>
        <v xml:space="preserve">  2215</v>
      </c>
      <c r="Q18" s="35" t="str">
        <f>VLOOKUP(N18,Choferes!$A$2:$C$200,2)</f>
        <v>GB01</v>
      </c>
      <c r="R18" s="35" t="str">
        <f>VLOOKUP(O18,Choferes!$A$2:$C$200,3)</f>
        <v xml:space="preserve">  1912</v>
      </c>
      <c r="S18" s="35" t="str">
        <f>VLOOKUP(O18,Choferes!$A$2:$C$200,2)</f>
        <v>GB01</v>
      </c>
      <c r="T18" s="34">
        <f>VLOOKUP(N18,Choferes!$A$2:$E$163,5)</f>
        <v>30778106</v>
      </c>
      <c r="U18" s="34">
        <f>VLOOKUP(O18,Choferes!$A$2:$E$163,5)</f>
        <v>33401599</v>
      </c>
      <c r="V18" s="34">
        <f t="shared" si="0"/>
        <v>2</v>
      </c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</row>
    <row r="19" spans="1:35" s="35" customFormat="1" ht="15" customHeight="1" thickBot="1" x14ac:dyDescent="0.3">
      <c r="A19" s="42" t="s">
        <v>480</v>
      </c>
      <c r="B19" s="18" t="s">
        <v>32</v>
      </c>
      <c r="C19" s="19">
        <v>14129621</v>
      </c>
      <c r="D19" s="31" t="s">
        <v>190</v>
      </c>
      <c r="E19" s="21" t="s">
        <v>107</v>
      </c>
      <c r="F19" s="22">
        <v>36000</v>
      </c>
      <c r="G19" s="22" t="s">
        <v>18</v>
      </c>
      <c r="H19" s="43">
        <v>0.125</v>
      </c>
      <c r="I19" s="20" t="s">
        <v>81</v>
      </c>
      <c r="J19" s="20" t="s">
        <v>81</v>
      </c>
      <c r="K19" s="56" t="s">
        <v>1602</v>
      </c>
      <c r="L19" s="52" t="s">
        <v>13</v>
      </c>
      <c r="M19" s="50" t="s">
        <v>24</v>
      </c>
      <c r="N19" s="51" t="s">
        <v>281</v>
      </c>
      <c r="O19" s="51" t="s">
        <v>409</v>
      </c>
      <c r="P19" s="35" t="str">
        <f>VLOOKUP(N19,Choferes!$A$2:$C$200,3)</f>
        <v xml:space="preserve">  1255</v>
      </c>
      <c r="Q19" s="35" t="str">
        <f>VLOOKUP(N19,Choferes!$A$2:$C$200,2)</f>
        <v>GB01</v>
      </c>
      <c r="R19" s="35" t="str">
        <f>VLOOKUP(O19,Choferes!$A$2:$C$200,3)</f>
        <v xml:space="preserve">  2012</v>
      </c>
      <c r="S19" s="35" t="str">
        <f>VLOOKUP(O19,Choferes!$A$2:$C$200,2)</f>
        <v>GB01</v>
      </c>
      <c r="T19" s="34">
        <f>VLOOKUP(N19,Choferes!$A$2:$E$163,5)</f>
        <v>14129621</v>
      </c>
      <c r="U19" s="34">
        <f>VLOOKUP(O19,Choferes!$A$2:$E$163,5)</f>
        <v>23802492</v>
      </c>
      <c r="V19" s="34">
        <f t="shared" si="0"/>
        <v>2</v>
      </c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</row>
    <row r="20" spans="1:35" s="35" customFormat="1" ht="15" customHeight="1" thickBot="1" x14ac:dyDescent="0.25">
      <c r="A20" s="42" t="s">
        <v>481</v>
      </c>
      <c r="B20" s="18" t="s">
        <v>22</v>
      </c>
      <c r="C20" s="19">
        <v>17789630</v>
      </c>
      <c r="D20" s="20" t="s">
        <v>108</v>
      </c>
      <c r="E20" s="21" t="s">
        <v>109</v>
      </c>
      <c r="F20" s="22">
        <v>36000</v>
      </c>
      <c r="G20" s="22" t="s">
        <v>16</v>
      </c>
      <c r="H20" s="43">
        <v>0.125</v>
      </c>
      <c r="I20" s="20" t="s">
        <v>81</v>
      </c>
      <c r="J20" s="20" t="s">
        <v>81</v>
      </c>
      <c r="K20" s="56" t="s">
        <v>1602</v>
      </c>
      <c r="L20" s="52" t="s">
        <v>13</v>
      </c>
      <c r="M20" s="50" t="s">
        <v>24</v>
      </c>
      <c r="N20" s="51" t="s">
        <v>243</v>
      </c>
      <c r="O20" s="51" t="s">
        <v>1519</v>
      </c>
      <c r="P20" s="35" t="str">
        <f>VLOOKUP(N20,Choferes!$A$2:$C$200,3)</f>
        <v xml:space="preserve">   964</v>
      </c>
      <c r="Q20" s="35" t="str">
        <f>VLOOKUP(N20,Choferes!$A$2:$C$200,2)</f>
        <v>GB01</v>
      </c>
      <c r="R20" s="35" t="str">
        <f>VLOOKUP(O20,Choferes!$A$2:$C$200,3)</f>
        <v xml:space="preserve">  2185</v>
      </c>
      <c r="S20" s="35" t="str">
        <f>VLOOKUP(O20,Choferes!$A$2:$C$200,2)</f>
        <v>GB01</v>
      </c>
      <c r="T20" s="34">
        <f>VLOOKUP(N20,Choferes!$A$2:$E$163,5)</f>
        <v>17789630</v>
      </c>
      <c r="U20" s="34">
        <f>VLOOKUP(O20,Choferes!$A$2:$E$163,5)</f>
        <v>32766431</v>
      </c>
      <c r="V20" s="34">
        <f t="shared" si="0"/>
        <v>2</v>
      </c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</row>
    <row r="21" spans="1:35" s="35" customFormat="1" ht="15" customHeight="1" thickBot="1" x14ac:dyDescent="0.3">
      <c r="A21" s="42" t="s">
        <v>1540</v>
      </c>
      <c r="B21" s="18"/>
      <c r="C21" s="36"/>
      <c r="D21" s="20" t="s">
        <v>1541</v>
      </c>
      <c r="E21" s="31" t="s">
        <v>1542</v>
      </c>
      <c r="F21" s="22">
        <v>36000</v>
      </c>
      <c r="G21" s="22" t="s">
        <v>16</v>
      </c>
      <c r="H21" s="43"/>
      <c r="I21" s="20"/>
      <c r="J21" s="20"/>
      <c r="K21" s="56" t="s">
        <v>1602</v>
      </c>
      <c r="L21" s="52" t="s">
        <v>14</v>
      </c>
      <c r="M21" s="50" t="s">
        <v>24</v>
      </c>
      <c r="N21" s="51"/>
      <c r="O21" s="51"/>
      <c r="P21" s="35" t="e">
        <f>VLOOKUP(N21,Choferes!$A$2:$C$200,3)</f>
        <v>#N/A</v>
      </c>
      <c r="Q21" s="35" t="e">
        <f>VLOOKUP(N21,Choferes!$A$2:$C$200,2)</f>
        <v>#N/A</v>
      </c>
      <c r="R21" s="35" t="e">
        <f>VLOOKUP(#REF!,Choferes!$A$2:$C$200,3)</f>
        <v>#REF!</v>
      </c>
      <c r="S21" s="35" t="e">
        <f>VLOOKUP(#REF!,Choferes!$A$2:$C$200,2)</f>
        <v>#REF!</v>
      </c>
      <c r="T21" s="34" t="e">
        <f>VLOOKUP(N21,Choferes!$A$2:$E$163,5)</f>
        <v>#N/A</v>
      </c>
      <c r="U21" s="34" t="e">
        <f>VLOOKUP(O21,Choferes!$A$2:$E$163,5)</f>
        <v>#N/A</v>
      </c>
      <c r="V21" s="34">
        <f t="shared" si="0"/>
        <v>5</v>
      </c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</row>
    <row r="22" spans="1:35" s="35" customFormat="1" ht="15" customHeight="1" thickBot="1" x14ac:dyDescent="0.25">
      <c r="A22" s="42" t="s">
        <v>482</v>
      </c>
      <c r="B22" s="18" t="s">
        <v>85</v>
      </c>
      <c r="C22" s="19" t="s">
        <v>110</v>
      </c>
      <c r="D22" s="20" t="s">
        <v>192</v>
      </c>
      <c r="E22" s="21" t="s">
        <v>111</v>
      </c>
      <c r="F22" s="22">
        <v>36000</v>
      </c>
      <c r="G22" s="23" t="s">
        <v>19</v>
      </c>
      <c r="H22" s="43">
        <v>0.625</v>
      </c>
      <c r="I22" s="20"/>
      <c r="J22" s="20" t="s">
        <v>81</v>
      </c>
      <c r="K22" s="56" t="s">
        <v>1602</v>
      </c>
      <c r="L22" s="52" t="s">
        <v>13</v>
      </c>
      <c r="M22" s="50" t="s">
        <v>24</v>
      </c>
      <c r="N22" s="51"/>
      <c r="O22" s="51" t="s">
        <v>1564</v>
      </c>
      <c r="P22" s="35" t="e">
        <f>VLOOKUP(N22,Choferes!$A$2:$C$200,3)</f>
        <v>#N/A</v>
      </c>
      <c r="Q22" s="35" t="e">
        <f>VLOOKUP(N22,Choferes!$A$2:$C$200,2)</f>
        <v>#N/A</v>
      </c>
      <c r="R22" s="35" t="str">
        <f>VLOOKUP(O22,Choferes!$A$2:$C$200,3)</f>
        <v xml:space="preserve">  1512</v>
      </c>
      <c r="S22" s="35" t="str">
        <f>VLOOKUP(O22,Choferes!$A$2:$C$200,2)</f>
        <v>GB01</v>
      </c>
      <c r="T22" s="34" t="e">
        <f>VLOOKUP(N22,Choferes!$A$2:$E$163,5)</f>
        <v>#N/A</v>
      </c>
      <c r="U22" s="34">
        <f>VLOOKUP(O22,Choferes!$A$2:$E$163,5)</f>
        <v>27565444</v>
      </c>
      <c r="V22" s="34">
        <f t="shared" si="0"/>
        <v>2</v>
      </c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</row>
    <row r="23" spans="1:35" s="35" customFormat="1" ht="15" customHeight="1" thickBot="1" x14ac:dyDescent="0.25">
      <c r="A23" s="42" t="s">
        <v>483</v>
      </c>
      <c r="B23" s="18" t="s">
        <v>56</v>
      </c>
      <c r="C23" s="19" t="s">
        <v>57</v>
      </c>
      <c r="D23" s="20" t="s">
        <v>112</v>
      </c>
      <c r="E23" s="21" t="s">
        <v>113</v>
      </c>
      <c r="F23" s="22">
        <v>36000</v>
      </c>
      <c r="G23" s="22" t="s">
        <v>16</v>
      </c>
      <c r="H23" s="43">
        <v>0.125</v>
      </c>
      <c r="I23" s="20" t="s">
        <v>81</v>
      </c>
      <c r="J23" s="20"/>
      <c r="K23" s="56" t="s">
        <v>1602</v>
      </c>
      <c r="L23" s="52" t="s">
        <v>13</v>
      </c>
      <c r="M23" s="50" t="s">
        <v>24</v>
      </c>
      <c r="N23" s="51" t="s">
        <v>315</v>
      </c>
      <c r="O23" s="51"/>
      <c r="P23" s="35" t="e">
        <f>VLOOKUP(#REF!,Choferes!$A$2:$C$200,3)</f>
        <v>#REF!</v>
      </c>
      <c r="Q23" s="35" t="e">
        <f>VLOOKUP(#REF!,Choferes!$A$2:$C$200,2)</f>
        <v>#REF!</v>
      </c>
      <c r="R23" s="35" t="e">
        <f>VLOOKUP(O23,Choferes!$A$2:$C$200,3)</f>
        <v>#N/A</v>
      </c>
      <c r="S23" s="35" t="e">
        <f>VLOOKUP(O23,Choferes!$A$2:$C$200,2)</f>
        <v>#N/A</v>
      </c>
      <c r="T23" s="34">
        <f>VLOOKUP(N23,Choferes!$A$2:$E$163,5)</f>
        <v>26329300</v>
      </c>
      <c r="U23" s="34" t="e">
        <f>VLOOKUP(O23,Choferes!$A$2:$E$163,5)</f>
        <v>#N/A</v>
      </c>
      <c r="V23" s="34">
        <f t="shared" si="0"/>
        <v>2</v>
      </c>
      <c r="W23" s="34"/>
      <c r="X23" s="34"/>
      <c r="Y23" s="34"/>
      <c r="Z23" s="34"/>
      <c r="AA23" s="34"/>
      <c r="AB23" s="34"/>
      <c r="AC23" s="34"/>
      <c r="AD23" s="34"/>
      <c r="AE23" s="34"/>
      <c r="AF23" s="34"/>
      <c r="AG23" s="34"/>
      <c r="AH23" s="34"/>
      <c r="AI23" s="34"/>
    </row>
    <row r="24" spans="1:35" s="35" customFormat="1" ht="15" customHeight="1" thickBot="1" x14ac:dyDescent="0.25">
      <c r="A24" s="42" t="s">
        <v>1543</v>
      </c>
      <c r="B24" s="18"/>
      <c r="C24" s="36"/>
      <c r="D24" s="53" t="s">
        <v>1600</v>
      </c>
      <c r="E24" s="54" t="s">
        <v>1544</v>
      </c>
      <c r="F24" s="22">
        <v>37000</v>
      </c>
      <c r="G24" s="22" t="s">
        <v>17</v>
      </c>
      <c r="H24" s="43"/>
      <c r="I24" s="20"/>
      <c r="J24" s="20"/>
      <c r="K24" s="56" t="s">
        <v>1602</v>
      </c>
      <c r="L24" s="52" t="s">
        <v>1553</v>
      </c>
      <c r="M24" s="50" t="s">
        <v>24</v>
      </c>
      <c r="N24" s="51"/>
      <c r="O24" s="51"/>
      <c r="P24" s="35" t="e">
        <f>VLOOKUP(N24,Choferes!$A$2:$C$200,3)</f>
        <v>#N/A</v>
      </c>
      <c r="Q24" s="35" t="e">
        <f>VLOOKUP(N24,Choferes!$A$2:$C$200,2)</f>
        <v>#N/A</v>
      </c>
      <c r="R24" s="35" t="e">
        <f>VLOOKUP(O24,Choferes!$A$2:$C$200,3)</f>
        <v>#N/A</v>
      </c>
      <c r="S24" s="35" t="e">
        <f>VLOOKUP(O24,Choferes!$A$2:$C$200,2)</f>
        <v>#N/A</v>
      </c>
      <c r="T24" s="34" t="e">
        <f>VLOOKUP(N24,Choferes!$A$2:$E$163,5)</f>
        <v>#N/A</v>
      </c>
      <c r="U24" s="34" t="e">
        <f>VLOOKUP(O24,Choferes!$A$2:$E$163,5)</f>
        <v>#N/A</v>
      </c>
      <c r="V24" s="34">
        <f t="shared" si="0"/>
        <v>6</v>
      </c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</row>
    <row r="25" spans="1:35" s="35" customFormat="1" ht="15" customHeight="1" thickBot="1" x14ac:dyDescent="0.25">
      <c r="A25" s="42" t="s">
        <v>484</v>
      </c>
      <c r="B25" s="18" t="s">
        <v>58</v>
      </c>
      <c r="C25" s="29" t="s">
        <v>59</v>
      </c>
      <c r="D25" s="21" t="s">
        <v>83</v>
      </c>
      <c r="E25" s="21" t="s">
        <v>114</v>
      </c>
      <c r="F25" s="22">
        <v>37000</v>
      </c>
      <c r="G25" s="22" t="s">
        <v>17</v>
      </c>
      <c r="H25" s="43">
        <v>4.1666666666666664E-2</v>
      </c>
      <c r="I25" s="20" t="s">
        <v>81</v>
      </c>
      <c r="J25" s="20" t="s">
        <v>81</v>
      </c>
      <c r="K25" s="56" t="s">
        <v>1602</v>
      </c>
      <c r="L25" s="52" t="s">
        <v>13</v>
      </c>
      <c r="M25" s="50" t="s">
        <v>24</v>
      </c>
      <c r="N25" s="51" t="s">
        <v>329</v>
      </c>
      <c r="O25" s="51" t="s">
        <v>1558</v>
      </c>
      <c r="P25" s="35" t="str">
        <f>VLOOKUP(N25,Choferes!$A$2:$C$200,3)</f>
        <v xml:space="preserve">  1483</v>
      </c>
      <c r="Q25" s="35" t="str">
        <f>VLOOKUP(N25,Choferes!$A$2:$C$200,2)</f>
        <v>GB01</v>
      </c>
      <c r="R25" s="35" t="e">
        <f>VLOOKUP(#REF!,Choferes!$A$2:$C$200,3)</f>
        <v>#REF!</v>
      </c>
      <c r="S25" s="35" t="e">
        <f>VLOOKUP(#REF!,Choferes!$A$2:$C$200,2)</f>
        <v>#REF!</v>
      </c>
      <c r="T25" s="34">
        <f>VLOOKUP(N25,Choferes!$A$2:$E$163,5)</f>
        <v>21644873</v>
      </c>
      <c r="U25" s="34">
        <f>VLOOKUP(O25,Choferes!$A$2:$E$163,5)</f>
        <v>24477747</v>
      </c>
      <c r="V25" s="34">
        <f t="shared" si="0"/>
        <v>2</v>
      </c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</row>
    <row r="26" spans="1:35" s="35" customFormat="1" ht="15" customHeight="1" thickBot="1" x14ac:dyDescent="0.25">
      <c r="A26" s="42" t="s">
        <v>485</v>
      </c>
      <c r="B26" s="18" t="s">
        <v>60</v>
      </c>
      <c r="C26" s="19" t="s">
        <v>61</v>
      </c>
      <c r="D26" s="21" t="s">
        <v>187</v>
      </c>
      <c r="E26" s="20" t="s">
        <v>115</v>
      </c>
      <c r="F26" s="22">
        <v>36000</v>
      </c>
      <c r="G26" s="23" t="s">
        <v>19</v>
      </c>
      <c r="H26" s="43">
        <v>0.125</v>
      </c>
      <c r="I26" s="20" t="s">
        <v>81</v>
      </c>
      <c r="J26" s="20" t="s">
        <v>81</v>
      </c>
      <c r="K26" s="56" t="s">
        <v>1602</v>
      </c>
      <c r="L26" s="52" t="s">
        <v>13</v>
      </c>
      <c r="M26" s="50" t="s">
        <v>24</v>
      </c>
      <c r="N26" s="51" t="s">
        <v>241</v>
      </c>
      <c r="O26" s="51" t="s">
        <v>407</v>
      </c>
      <c r="P26" s="35" t="str">
        <f>VLOOKUP(N26,Choferes!$A$2:$C$200,3)</f>
        <v xml:space="preserve">   922</v>
      </c>
      <c r="Q26" s="35" t="str">
        <f>VLOOKUP(N26,Choferes!$A$2:$C$200,2)</f>
        <v>GB01</v>
      </c>
      <c r="R26" s="35" t="str">
        <f>VLOOKUP(O25,Choferes!$A$2:$C$200,3)</f>
        <v xml:space="preserve">   930</v>
      </c>
      <c r="S26" s="35" t="str">
        <f>VLOOKUP(O25,Choferes!$A$2:$C$200,2)</f>
        <v>GB01</v>
      </c>
      <c r="T26" s="34">
        <f>VLOOKUP(N26,Choferes!$A$2:$E$163,5)</f>
        <v>26505826</v>
      </c>
      <c r="U26" s="34">
        <f>VLOOKUP(O26,Choferes!$A$2:$E$163,5)</f>
        <v>30976729</v>
      </c>
      <c r="V26" s="34">
        <f t="shared" si="0"/>
        <v>2</v>
      </c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</row>
    <row r="27" spans="1:35" s="35" customFormat="1" ht="15" customHeight="1" thickBot="1" x14ac:dyDescent="0.25">
      <c r="A27" s="42" t="s">
        <v>486</v>
      </c>
      <c r="B27" s="18" t="s">
        <v>116</v>
      </c>
      <c r="C27" s="29" t="s">
        <v>62</v>
      </c>
      <c r="D27" s="21" t="s">
        <v>188</v>
      </c>
      <c r="E27" s="20" t="s">
        <v>117</v>
      </c>
      <c r="F27" s="22">
        <v>36000</v>
      </c>
      <c r="G27" s="23" t="s">
        <v>19</v>
      </c>
      <c r="H27" s="43">
        <v>4.1666666666666664E-2</v>
      </c>
      <c r="I27" s="20" t="s">
        <v>81</v>
      </c>
      <c r="J27" s="20" t="s">
        <v>81</v>
      </c>
      <c r="K27" s="56" t="s">
        <v>1602</v>
      </c>
      <c r="L27" s="52" t="s">
        <v>13</v>
      </c>
      <c r="M27" s="50" t="s">
        <v>24</v>
      </c>
      <c r="N27" s="51" t="s">
        <v>345</v>
      </c>
      <c r="O27" s="51" t="s">
        <v>293</v>
      </c>
      <c r="P27" s="35" t="str">
        <f>VLOOKUP(N27,Choferes!$A$2:$C$200,3)</f>
        <v xml:space="preserve">  1665</v>
      </c>
      <c r="Q27" s="35" t="str">
        <f>VLOOKUP(N27,Choferes!$A$2:$C$200,2)</f>
        <v>GB01</v>
      </c>
      <c r="R27" s="35" t="str">
        <f>VLOOKUP(O27,Choferes!$A$2:$C$200,3)</f>
        <v xml:space="preserve">  1349</v>
      </c>
      <c r="S27" s="35" t="str">
        <f>VLOOKUP(O27,Choferes!$A$2:$C$200,2)</f>
        <v>GB01</v>
      </c>
      <c r="T27" s="34">
        <f>VLOOKUP(N27,Choferes!$A$2:$E$163,5)</f>
        <v>34584425</v>
      </c>
      <c r="U27" s="34">
        <f>VLOOKUP(O27,Choferes!$A$2:$E$163,5)</f>
        <v>24011761</v>
      </c>
      <c r="V27" s="34">
        <f t="shared" si="0"/>
        <v>2</v>
      </c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</row>
    <row r="28" spans="1:35" s="35" customFormat="1" ht="15" customHeight="1" thickBot="1" x14ac:dyDescent="0.25">
      <c r="A28" s="42" t="s">
        <v>487</v>
      </c>
      <c r="B28" s="47"/>
      <c r="C28" s="47"/>
      <c r="D28" s="21" t="s">
        <v>1578</v>
      </c>
      <c r="E28" s="20" t="s">
        <v>118</v>
      </c>
      <c r="F28" s="23">
        <v>25000</v>
      </c>
      <c r="G28" s="23" t="s">
        <v>20</v>
      </c>
      <c r="H28" s="43">
        <v>0.125</v>
      </c>
      <c r="I28" s="20" t="s">
        <v>81</v>
      </c>
      <c r="J28" s="20" t="s">
        <v>81</v>
      </c>
      <c r="K28" s="56" t="s">
        <v>1602</v>
      </c>
      <c r="L28" s="52" t="s">
        <v>13</v>
      </c>
      <c r="M28" s="50" t="s">
        <v>24</v>
      </c>
      <c r="N28" s="51" t="s">
        <v>1521</v>
      </c>
      <c r="O28" s="51" t="s">
        <v>1572</v>
      </c>
      <c r="P28" s="35" t="str">
        <f>VLOOKUP(N28,Choferes!$A$2:$C$200,3)</f>
        <v xml:space="preserve">  2192</v>
      </c>
      <c r="Q28" s="35" t="str">
        <f>VLOOKUP(N28,Choferes!$A$2:$C$200,2)</f>
        <v>GB01</v>
      </c>
      <c r="R28" s="35" t="str">
        <f>VLOOKUP(O28,Choferes!$A$2:$C$200,3)</f>
        <v xml:space="preserve">  2278</v>
      </c>
      <c r="S28" s="35" t="str">
        <f>VLOOKUP(O28,Choferes!$A$2:$C$200,2)</f>
        <v>GB01</v>
      </c>
      <c r="T28" s="34">
        <f>VLOOKUP(N28,Choferes!$A$2:$E$163,5)</f>
        <v>37142326</v>
      </c>
      <c r="U28" s="34">
        <f>VLOOKUP(O28,Choferes!$A$2:$E$163,5)</f>
        <v>34674366</v>
      </c>
      <c r="V28" s="34">
        <f t="shared" si="0"/>
        <v>2</v>
      </c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</row>
    <row r="29" spans="1:35" s="35" customFormat="1" ht="15" customHeight="1" thickBot="1" x14ac:dyDescent="0.25">
      <c r="A29" s="42" t="s">
        <v>488</v>
      </c>
      <c r="B29" s="30" t="s">
        <v>65</v>
      </c>
      <c r="C29" s="29" t="s">
        <v>66</v>
      </c>
      <c r="D29" s="21" t="s">
        <v>50</v>
      </c>
      <c r="E29" s="20" t="s">
        <v>51</v>
      </c>
      <c r="F29" s="23">
        <v>43000</v>
      </c>
      <c r="G29" s="23" t="s">
        <v>49</v>
      </c>
      <c r="H29" s="43">
        <v>0.125</v>
      </c>
      <c r="I29" s="20" t="s">
        <v>81</v>
      </c>
      <c r="J29" s="20" t="s">
        <v>81</v>
      </c>
      <c r="K29" s="56" t="s">
        <v>1602</v>
      </c>
      <c r="L29" s="52" t="s">
        <v>13</v>
      </c>
      <c r="M29" s="50" t="s">
        <v>24</v>
      </c>
      <c r="N29" s="51" t="s">
        <v>259</v>
      </c>
      <c r="O29" s="51" t="s">
        <v>323</v>
      </c>
      <c r="P29" s="35" t="str">
        <f>VLOOKUP(N29,Choferes!$A$2:$C$200,3)</f>
        <v xml:space="preserve">  1163</v>
      </c>
      <c r="Q29" s="35" t="str">
        <f>VLOOKUP(N29,Choferes!$A$2:$C$200,2)</f>
        <v>GB01</v>
      </c>
      <c r="R29" s="35" t="str">
        <f>VLOOKUP(O29,Choferes!$A$2:$C$200,3)</f>
        <v xml:space="preserve">  1473</v>
      </c>
      <c r="S29" s="35" t="str">
        <f>VLOOKUP(O29,Choferes!$A$2:$C$200,2)</f>
        <v>GB01</v>
      </c>
      <c r="T29" s="34">
        <f>VLOOKUP(N29,Choferes!$A$2:$E$163,5)</f>
        <v>25529278</v>
      </c>
      <c r="U29" s="34">
        <f>VLOOKUP(O29,Choferes!$A$2:$E$163,5)</f>
        <v>29734851</v>
      </c>
      <c r="V29" s="34">
        <f t="shared" si="0"/>
        <v>2</v>
      </c>
      <c r="W29" s="34"/>
      <c r="X29" s="34"/>
      <c r="Y29" s="34"/>
      <c r="Z29" s="34"/>
      <c r="AA29" s="34"/>
      <c r="AB29" s="34"/>
      <c r="AC29" s="34"/>
      <c r="AD29" s="34"/>
      <c r="AE29" s="34"/>
      <c r="AF29" s="34"/>
      <c r="AG29" s="34"/>
      <c r="AH29" s="34"/>
      <c r="AI29" s="34"/>
    </row>
    <row r="30" spans="1:35" s="35" customFormat="1" ht="15" customHeight="1" thickBot="1" x14ac:dyDescent="0.25">
      <c r="A30" s="42" t="s">
        <v>489</v>
      </c>
      <c r="B30" s="30"/>
      <c r="C30" s="29"/>
      <c r="D30" s="21" t="s">
        <v>1579</v>
      </c>
      <c r="E30" s="20" t="s">
        <v>41</v>
      </c>
      <c r="F30" s="23">
        <v>25000</v>
      </c>
      <c r="G30" s="23" t="s">
        <v>20</v>
      </c>
      <c r="H30" s="43">
        <v>4.1666666666666664E-2</v>
      </c>
      <c r="I30" s="20" t="s">
        <v>81</v>
      </c>
      <c r="J30" s="20" t="s">
        <v>81</v>
      </c>
      <c r="K30" s="56" t="s">
        <v>1602</v>
      </c>
      <c r="L30" s="52" t="s">
        <v>13</v>
      </c>
      <c r="M30" s="50" t="s">
        <v>24</v>
      </c>
      <c r="N30" s="51" t="s">
        <v>433</v>
      </c>
      <c r="O30" s="51" t="s">
        <v>1576</v>
      </c>
      <c r="P30" s="35" t="str">
        <f>VLOOKUP(N30,Choferes!$A$2:$C$200,3)</f>
        <v xml:space="preserve">  2107</v>
      </c>
      <c r="Q30" s="35" t="str">
        <f>VLOOKUP(N30,Choferes!$A$2:$C$200,2)</f>
        <v>GB01</v>
      </c>
      <c r="R30" s="35" t="str">
        <f>VLOOKUP(O30,Choferes!$A$2:$C$200,3)</f>
        <v xml:space="preserve">  2260</v>
      </c>
      <c r="S30" s="35" t="str">
        <f>VLOOKUP(O30,Choferes!$A$2:$C$200,2)</f>
        <v>GB01</v>
      </c>
      <c r="T30" s="34">
        <f>VLOOKUP(N30,Choferes!$A$2:$E$163,5)</f>
        <v>33907293</v>
      </c>
      <c r="U30" s="34">
        <f>VLOOKUP(O30,Choferes!$A$2:$E$163,5)</f>
        <v>94449160</v>
      </c>
      <c r="V30" s="34">
        <f t="shared" si="0"/>
        <v>2</v>
      </c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</row>
    <row r="31" spans="1:35" s="35" customFormat="1" ht="15" customHeight="1" thickBot="1" x14ac:dyDescent="0.25">
      <c r="A31" s="42" t="s">
        <v>1533</v>
      </c>
      <c r="B31" s="30"/>
      <c r="C31" s="29"/>
      <c r="D31" s="21" t="s">
        <v>1534</v>
      </c>
      <c r="E31" s="20" t="s">
        <v>1535</v>
      </c>
      <c r="F31" s="23">
        <v>25000</v>
      </c>
      <c r="G31" s="23" t="s">
        <v>20</v>
      </c>
      <c r="H31" s="43">
        <v>0.54166666666666663</v>
      </c>
      <c r="I31" s="20"/>
      <c r="J31" s="20" t="s">
        <v>81</v>
      </c>
      <c r="K31" s="56" t="s">
        <v>1602</v>
      </c>
      <c r="L31" s="52" t="s">
        <v>13</v>
      </c>
      <c r="M31" s="50" t="s">
        <v>24</v>
      </c>
      <c r="N31" s="51"/>
      <c r="O31" s="51" t="s">
        <v>325</v>
      </c>
      <c r="P31" s="35" t="e">
        <f>VLOOKUP(N31,Choferes!$A$2:$C$200,3)</f>
        <v>#N/A</v>
      </c>
      <c r="Q31" s="35" t="e">
        <f>VLOOKUP(N31,Choferes!$A$2:$C$200,2)</f>
        <v>#N/A</v>
      </c>
      <c r="R31" s="35" t="str">
        <f>VLOOKUP(O31,Choferes!$A$2:$C$200,3)</f>
        <v xml:space="preserve">  1475</v>
      </c>
      <c r="S31" s="35" t="str">
        <f>VLOOKUP(O31,Choferes!$A$2:$C$200,2)</f>
        <v>GB01</v>
      </c>
      <c r="T31" s="34" t="e">
        <f>VLOOKUP(N31,Choferes!$A$2:$E$163,5)</f>
        <v>#N/A</v>
      </c>
      <c r="U31" s="34">
        <f>VLOOKUP(O31,Choferes!$A$2:$E$163,5)</f>
        <v>24063599</v>
      </c>
      <c r="V31" s="34">
        <f t="shared" si="0"/>
        <v>2</v>
      </c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</row>
    <row r="32" spans="1:35" s="35" customFormat="1" ht="15" customHeight="1" thickBot="1" x14ac:dyDescent="0.25">
      <c r="A32" s="42" t="s">
        <v>490</v>
      </c>
      <c r="B32" s="18"/>
      <c r="C32" s="19"/>
      <c r="D32" s="21" t="s">
        <v>191</v>
      </c>
      <c r="E32" s="20" t="s">
        <v>120</v>
      </c>
      <c r="F32" s="22">
        <v>36000</v>
      </c>
      <c r="G32" s="23" t="s">
        <v>19</v>
      </c>
      <c r="H32" s="43">
        <v>0.125</v>
      </c>
      <c r="I32" s="20" t="s">
        <v>81</v>
      </c>
      <c r="J32" s="20"/>
      <c r="K32" s="56" t="s">
        <v>1602</v>
      </c>
      <c r="L32" s="52" t="s">
        <v>13</v>
      </c>
      <c r="M32" s="50" t="s">
        <v>24</v>
      </c>
      <c r="N32" s="51" t="s">
        <v>283</v>
      </c>
      <c r="O32" s="51"/>
      <c r="P32" s="35" t="str">
        <f>VLOOKUP(N32,Choferes!$A$2:$C$200,3)</f>
        <v xml:space="preserve">  1261</v>
      </c>
      <c r="Q32" s="35" t="str">
        <f>VLOOKUP(N32,Choferes!$A$2:$C$200,2)</f>
        <v>GB01</v>
      </c>
      <c r="R32" s="35" t="e">
        <f>VLOOKUP(O32,Choferes!$A$2:$C$200,3)</f>
        <v>#N/A</v>
      </c>
      <c r="S32" s="35" t="e">
        <f>VLOOKUP(O32,Choferes!$A$2:$C$200,2)</f>
        <v>#N/A</v>
      </c>
      <c r="T32" s="34">
        <f>VLOOKUP(N32,Choferes!$A$2:$E$163,5)</f>
        <v>32305957</v>
      </c>
      <c r="U32" s="34" t="e">
        <f>VLOOKUP(O32,Choferes!$A$2:$E$163,5)</f>
        <v>#N/A</v>
      </c>
      <c r="V32" s="34">
        <f t="shared" si="0"/>
        <v>2</v>
      </c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</row>
    <row r="33" spans="1:35" s="35" customFormat="1" ht="15" customHeight="1" thickBot="1" x14ac:dyDescent="0.25">
      <c r="A33" s="42" t="s">
        <v>491</v>
      </c>
      <c r="B33" s="18" t="s">
        <v>121</v>
      </c>
      <c r="C33" s="19">
        <v>32305957</v>
      </c>
      <c r="D33" s="21" t="s">
        <v>183</v>
      </c>
      <c r="E33" s="20" t="s">
        <v>122</v>
      </c>
      <c r="F33" s="22">
        <v>36000</v>
      </c>
      <c r="G33" s="23" t="s">
        <v>19</v>
      </c>
      <c r="H33" s="43">
        <v>4.1666666666666664E-2</v>
      </c>
      <c r="I33" s="20" t="s">
        <v>81</v>
      </c>
      <c r="J33" s="20"/>
      <c r="K33" s="56" t="s">
        <v>1602</v>
      </c>
      <c r="L33" s="52" t="s">
        <v>13</v>
      </c>
      <c r="M33" s="50" t="s">
        <v>24</v>
      </c>
      <c r="N33" s="51" t="s">
        <v>1517</v>
      </c>
      <c r="O33" s="51"/>
      <c r="P33" s="35" t="str">
        <f>VLOOKUP(N33,Choferes!$A$2:$C$200,3)</f>
        <v xml:space="preserve">  2157</v>
      </c>
      <c r="Q33" s="35" t="str">
        <f>VLOOKUP(N33,Choferes!$A$2:$C$200,2)</f>
        <v>GB01</v>
      </c>
      <c r="R33" s="35" t="e">
        <f>VLOOKUP(O33,Choferes!$A$2:$C$200,3)</f>
        <v>#N/A</v>
      </c>
      <c r="S33" s="35" t="e">
        <f>VLOOKUP(O33,Choferes!$A$2:$C$200,2)</f>
        <v>#N/A</v>
      </c>
      <c r="T33" s="34">
        <f>VLOOKUP(N33,Choferes!$A$2:$E$163,5)</f>
        <v>33608358</v>
      </c>
      <c r="U33" s="34" t="e">
        <f>VLOOKUP(O33,Choferes!$A$2:$E$163,5)</f>
        <v>#N/A</v>
      </c>
      <c r="V33" s="34">
        <f t="shared" si="0"/>
        <v>2</v>
      </c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</row>
    <row r="34" spans="1:35" s="35" customFormat="1" ht="15" customHeight="1" thickBot="1" x14ac:dyDescent="0.25">
      <c r="A34" s="42" t="s">
        <v>492</v>
      </c>
      <c r="B34" s="18" t="s">
        <v>68</v>
      </c>
      <c r="C34" s="29" t="s">
        <v>69</v>
      </c>
      <c r="D34" s="21" t="s">
        <v>123</v>
      </c>
      <c r="E34" s="20" t="s">
        <v>124</v>
      </c>
      <c r="F34" s="23">
        <v>25000</v>
      </c>
      <c r="G34" s="23" t="s">
        <v>20</v>
      </c>
      <c r="H34" s="43">
        <v>4.1666666666666664E-2</v>
      </c>
      <c r="I34" s="20" t="s">
        <v>81</v>
      </c>
      <c r="J34" s="20" t="s">
        <v>81</v>
      </c>
      <c r="K34" s="56" t="s">
        <v>1602</v>
      </c>
      <c r="L34" s="52" t="s">
        <v>13</v>
      </c>
      <c r="M34" s="50" t="s">
        <v>24</v>
      </c>
      <c r="N34" s="51" t="s">
        <v>253</v>
      </c>
      <c r="O34" s="51" t="s">
        <v>1574</v>
      </c>
      <c r="P34" s="35" t="str">
        <f>VLOOKUP(N34,Choferes!$A$2:$C$200,3)</f>
        <v xml:space="preserve">  1155</v>
      </c>
      <c r="Q34" s="35" t="str">
        <f>VLOOKUP(N34,Choferes!$A$2:$C$200,2)</f>
        <v>GB01</v>
      </c>
      <c r="R34" s="35" t="str">
        <f>VLOOKUP(O34,Choferes!$A$2:$C$200,3)</f>
        <v xml:space="preserve">  2293</v>
      </c>
      <c r="S34" s="35" t="str">
        <f>VLOOKUP(O34,Choferes!$A$2:$C$200,2)</f>
        <v>GB01</v>
      </c>
      <c r="T34" s="34">
        <f>VLOOKUP(N34,Choferes!$A$2:$E$163,5)</f>
        <v>23216457</v>
      </c>
      <c r="U34" s="34">
        <f>VLOOKUP(O34,Choferes!$A$2:$E$163,5)</f>
        <v>26227812</v>
      </c>
      <c r="V34" s="34">
        <f t="shared" si="0"/>
        <v>2</v>
      </c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</row>
    <row r="35" spans="1:35" s="35" customFormat="1" ht="15" customHeight="1" thickBot="1" x14ac:dyDescent="0.25">
      <c r="A35" s="42" t="s">
        <v>493</v>
      </c>
      <c r="B35" s="18" t="s">
        <v>38</v>
      </c>
      <c r="C35" s="29">
        <v>25504578</v>
      </c>
      <c r="D35" s="21" t="s">
        <v>42</v>
      </c>
      <c r="E35" s="20" t="s">
        <v>125</v>
      </c>
      <c r="F35" s="23">
        <v>25000</v>
      </c>
      <c r="G35" s="23" t="s">
        <v>20</v>
      </c>
      <c r="H35" s="43">
        <v>4.1666666666666664E-2</v>
      </c>
      <c r="I35" s="20" t="s">
        <v>81</v>
      </c>
      <c r="J35" s="20" t="s">
        <v>81</v>
      </c>
      <c r="K35" s="56" t="s">
        <v>1602</v>
      </c>
      <c r="L35" s="52" t="s">
        <v>13</v>
      </c>
      <c r="M35" s="50" t="s">
        <v>24</v>
      </c>
      <c r="N35" s="51" t="s">
        <v>311</v>
      </c>
      <c r="O35" s="51" t="s">
        <v>443</v>
      </c>
      <c r="P35" s="35" t="str">
        <f>VLOOKUP(N35,Choferes!$A$2:$C$200,3)</f>
        <v xml:space="preserve">  1407</v>
      </c>
      <c r="Q35" s="35" t="str">
        <f>VLOOKUP(N35,Choferes!$A$2:$C$200,2)</f>
        <v>GB01</v>
      </c>
      <c r="R35" s="35" t="str">
        <f>VLOOKUP(O35,Choferes!$A$2:$C$200,3)</f>
        <v xml:space="preserve">  2129</v>
      </c>
      <c r="S35" s="35" t="str">
        <f>VLOOKUP(O35,Choferes!$A$2:$C$200,2)</f>
        <v>GB01</v>
      </c>
      <c r="T35" s="34">
        <f>VLOOKUP(N35,Choferes!$A$2:$E$163,5)</f>
        <v>21732756</v>
      </c>
      <c r="U35" s="34">
        <f>VLOOKUP(O35,Choferes!$A$2:$E$163,5)</f>
        <v>24064632</v>
      </c>
      <c r="V35" s="34">
        <f t="shared" si="0"/>
        <v>2</v>
      </c>
      <c r="W35" s="34"/>
      <c r="X35" s="34"/>
      <c r="Y35" s="34"/>
      <c r="Z35" s="34"/>
      <c r="AA35" s="34"/>
      <c r="AB35" s="34"/>
      <c r="AC35" s="34"/>
      <c r="AD35" s="34"/>
      <c r="AE35" s="34"/>
      <c r="AF35" s="34"/>
      <c r="AG35" s="34"/>
      <c r="AH35" s="34"/>
      <c r="AI35" s="34"/>
    </row>
    <row r="36" spans="1:35" s="35" customFormat="1" ht="15" customHeight="1" thickBot="1" x14ac:dyDescent="0.25">
      <c r="A36" s="42" t="s">
        <v>494</v>
      </c>
      <c r="B36" s="18" t="s">
        <v>34</v>
      </c>
      <c r="C36" s="29">
        <v>24782150</v>
      </c>
      <c r="D36" s="21" t="s">
        <v>43</v>
      </c>
      <c r="E36" s="20" t="s">
        <v>126</v>
      </c>
      <c r="F36" s="23">
        <v>25000</v>
      </c>
      <c r="G36" s="23" t="s">
        <v>20</v>
      </c>
      <c r="H36" s="43">
        <v>4.1666666666666664E-2</v>
      </c>
      <c r="I36" s="46" t="s">
        <v>81</v>
      </c>
      <c r="J36" s="20" t="s">
        <v>81</v>
      </c>
      <c r="K36" s="56" t="s">
        <v>1602</v>
      </c>
      <c r="L36" s="52" t="s">
        <v>13</v>
      </c>
      <c r="M36" s="50" t="s">
        <v>24</v>
      </c>
      <c r="N36" s="51" t="s">
        <v>441</v>
      </c>
      <c r="O36" s="51" t="s">
        <v>1591</v>
      </c>
      <c r="P36" s="35" t="str">
        <f>VLOOKUP(N36,Choferes!$A$2:$C$200,3)</f>
        <v xml:space="preserve">  2128</v>
      </c>
      <c r="Q36" s="35" t="str">
        <f>VLOOKUP(N36,Choferes!$A$2:$C$200,2)</f>
        <v>GB01</v>
      </c>
      <c r="R36" s="35" t="str">
        <f>VLOOKUP(O36,Choferes!$A$2:$C$200,3)</f>
        <v xml:space="preserve">  2320</v>
      </c>
      <c r="S36" s="35" t="str">
        <f>VLOOKUP(O36,Choferes!$A$2:$C$200,2)</f>
        <v>GB01</v>
      </c>
      <c r="T36" s="34">
        <f>VLOOKUP(N36,Choferes!$A$2:$E$163,5)</f>
        <v>34984112</v>
      </c>
      <c r="U36" s="34">
        <f>VLOOKUP(O36,Choferes!$A$2:$E$163,5)</f>
        <v>25152793</v>
      </c>
      <c r="V36" s="34">
        <f t="shared" si="0"/>
        <v>2</v>
      </c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</row>
    <row r="37" spans="1:35" s="35" customFormat="1" ht="15" customHeight="1" thickBot="1" x14ac:dyDescent="0.25">
      <c r="A37" s="42" t="s">
        <v>495</v>
      </c>
      <c r="B37" s="18" t="s">
        <v>70</v>
      </c>
      <c r="C37" s="29" t="s">
        <v>71</v>
      </c>
      <c r="D37" s="21" t="s">
        <v>127</v>
      </c>
      <c r="E37" s="20" t="s">
        <v>128</v>
      </c>
      <c r="F37" s="23">
        <v>25000</v>
      </c>
      <c r="G37" s="23" t="s">
        <v>20</v>
      </c>
      <c r="H37" s="43">
        <v>4.1666666666666664E-2</v>
      </c>
      <c r="I37" s="46" t="s">
        <v>81</v>
      </c>
      <c r="J37" s="20" t="s">
        <v>81</v>
      </c>
      <c r="K37" s="56" t="s">
        <v>1602</v>
      </c>
      <c r="L37" s="52" t="s">
        <v>13</v>
      </c>
      <c r="M37" s="50" t="s">
        <v>24</v>
      </c>
      <c r="N37" s="51" t="s">
        <v>341</v>
      </c>
      <c r="O37" s="51" t="s">
        <v>1584</v>
      </c>
      <c r="P37" s="35" t="str">
        <f>VLOOKUP(N37,Choferes!$A$2:$C$200,3)</f>
        <v xml:space="preserve">  1556</v>
      </c>
      <c r="Q37" s="35" t="str">
        <f>VLOOKUP(N37,Choferes!$A$2:$C$200,2)</f>
        <v>GB01</v>
      </c>
      <c r="R37" s="35" t="str">
        <f>VLOOKUP(O37,Choferes!$A$2:$C$200,3)</f>
        <v xml:space="preserve">  2301</v>
      </c>
      <c r="S37" s="35" t="str">
        <f>VLOOKUP(O37,Choferes!$A$2:$C$200,2)</f>
        <v>GB01</v>
      </c>
      <c r="T37" s="34">
        <f>VLOOKUP(N37,Choferes!$A$2:$E$163,5)</f>
        <v>35158896</v>
      </c>
      <c r="U37" s="34">
        <f>VLOOKUP(O37,Choferes!$A$2:$E$163,5)</f>
        <v>36268484</v>
      </c>
      <c r="V37" s="34">
        <f t="shared" si="0"/>
        <v>2</v>
      </c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</row>
    <row r="38" spans="1:35" s="35" customFormat="1" ht="15" customHeight="1" thickBot="1" x14ac:dyDescent="0.25">
      <c r="A38" s="42" t="s">
        <v>496</v>
      </c>
      <c r="B38" s="18" t="s">
        <v>72</v>
      </c>
      <c r="C38" s="29" t="s">
        <v>73</v>
      </c>
      <c r="D38" s="21" t="s">
        <v>129</v>
      </c>
      <c r="E38" s="20" t="s">
        <v>130</v>
      </c>
      <c r="F38" s="23">
        <v>25000</v>
      </c>
      <c r="G38" s="23" t="s">
        <v>20</v>
      </c>
      <c r="H38" s="43"/>
      <c r="I38" s="20"/>
      <c r="J38" s="20"/>
      <c r="K38" s="56" t="s">
        <v>1602</v>
      </c>
      <c r="L38" s="52" t="s">
        <v>13</v>
      </c>
      <c r="M38" s="50" t="s">
        <v>24</v>
      </c>
      <c r="N38" s="51"/>
      <c r="O38" s="51"/>
      <c r="P38" s="35" t="e">
        <f>VLOOKUP(N38,Choferes!$A$2:$C$200,3)</f>
        <v>#N/A</v>
      </c>
      <c r="Q38" s="35" t="e">
        <f>VLOOKUP(N38,Choferes!$A$2:$C$200,2)</f>
        <v>#N/A</v>
      </c>
      <c r="R38" s="35" t="e">
        <f>VLOOKUP(O38,Choferes!$A$2:$C$200,3)</f>
        <v>#N/A</v>
      </c>
      <c r="S38" s="35" t="e">
        <f>VLOOKUP(O38,Choferes!$A$2:$C$200,2)</f>
        <v>#N/A</v>
      </c>
      <c r="T38" s="34" t="e">
        <f>VLOOKUP(N38,Choferes!$A$2:$E$163,5)</f>
        <v>#N/A</v>
      </c>
      <c r="U38" s="34" t="e">
        <f>VLOOKUP(O38,Choferes!$A$2:$E$163,5)</f>
        <v>#N/A</v>
      </c>
      <c r="V38" s="34">
        <f t="shared" si="0"/>
        <v>2</v>
      </c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</row>
    <row r="39" spans="1:35" s="35" customFormat="1" ht="15" customHeight="1" thickBot="1" x14ac:dyDescent="0.25">
      <c r="A39" s="42" t="s">
        <v>497</v>
      </c>
      <c r="B39" s="18" t="s">
        <v>151</v>
      </c>
      <c r="C39" s="29" t="s">
        <v>152</v>
      </c>
      <c r="D39" s="21" t="s">
        <v>131</v>
      </c>
      <c r="E39" s="20" t="s">
        <v>132</v>
      </c>
      <c r="F39" s="23">
        <v>25000</v>
      </c>
      <c r="G39" s="23" t="s">
        <v>20</v>
      </c>
      <c r="H39" s="43">
        <v>4.1666666666666664E-2</v>
      </c>
      <c r="I39" s="20" t="s">
        <v>81</v>
      </c>
      <c r="J39" s="20" t="s">
        <v>81</v>
      </c>
      <c r="K39" s="56" t="s">
        <v>1602</v>
      </c>
      <c r="L39" s="52" t="s">
        <v>13</v>
      </c>
      <c r="M39" s="50" t="s">
        <v>24</v>
      </c>
      <c r="N39" s="51" t="s">
        <v>265</v>
      </c>
      <c r="O39" s="51" t="s">
        <v>349</v>
      </c>
      <c r="P39" s="35" t="str">
        <f>VLOOKUP(N39,Choferes!$A$2:$C$200,3)</f>
        <v xml:space="preserve">  1188</v>
      </c>
      <c r="Q39" s="35" t="str">
        <f>VLOOKUP(N39,Choferes!$A$2:$C$200,2)</f>
        <v>GB01</v>
      </c>
      <c r="R39" s="35" t="str">
        <f>VLOOKUP(O39,Choferes!$A$2:$C$200,3)</f>
        <v xml:space="preserve">  1707</v>
      </c>
      <c r="S39" s="35" t="str">
        <f>VLOOKUP(O39,Choferes!$A$2:$C$200,2)</f>
        <v>GB01</v>
      </c>
      <c r="T39" s="34">
        <f>VLOOKUP(N39,Choferes!$A$2:$E$163,5)</f>
        <v>26146775</v>
      </c>
      <c r="U39" s="34">
        <f>VLOOKUP(O39,Choferes!$A$2:$E$163,5)</f>
        <v>28046805</v>
      </c>
      <c r="V39" s="34">
        <f t="shared" si="0"/>
        <v>2</v>
      </c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</row>
    <row r="40" spans="1:35" s="35" customFormat="1" ht="15" customHeight="1" thickBot="1" x14ac:dyDescent="0.25">
      <c r="A40" s="42" t="s">
        <v>498</v>
      </c>
      <c r="B40" s="18" t="s">
        <v>36</v>
      </c>
      <c r="C40" s="29">
        <v>31499270</v>
      </c>
      <c r="D40" s="21" t="s">
        <v>134</v>
      </c>
      <c r="E40" s="27" t="s">
        <v>133</v>
      </c>
      <c r="F40" s="22">
        <v>36000</v>
      </c>
      <c r="G40" s="23" t="s">
        <v>26</v>
      </c>
      <c r="H40" s="43">
        <v>0.54166666666666663</v>
      </c>
      <c r="I40" s="20"/>
      <c r="J40" s="20" t="s">
        <v>81</v>
      </c>
      <c r="K40" s="56" t="s">
        <v>1602</v>
      </c>
      <c r="L40" s="52" t="s">
        <v>13</v>
      </c>
      <c r="M40" s="50" t="s">
        <v>24</v>
      </c>
      <c r="N40" s="51"/>
      <c r="O40" s="51" t="s">
        <v>463</v>
      </c>
      <c r="P40" s="35" t="e">
        <f>VLOOKUP(N40,Choferes!$A$2:$C$200,3)</f>
        <v>#N/A</v>
      </c>
      <c r="Q40" s="35" t="e">
        <f>VLOOKUP(N40,Choferes!$A$2:$C$200,2)</f>
        <v>#N/A</v>
      </c>
      <c r="R40" s="35" t="e">
        <f>VLOOKUP(#REF!,Choferes!$A$2:$C$200,3)</f>
        <v>#REF!</v>
      </c>
      <c r="S40" s="35" t="e">
        <f>VLOOKUP(#REF!,Choferes!$A$2:$C$200,2)</f>
        <v>#REF!</v>
      </c>
      <c r="T40" s="34" t="e">
        <f>VLOOKUP(N40,Choferes!$A$2:$E$163,5)</f>
        <v>#N/A</v>
      </c>
      <c r="U40" s="34">
        <f>VLOOKUP(O40,Choferes!$A$2:$E$163,5)</f>
        <v>22275285</v>
      </c>
      <c r="V40" s="34">
        <f t="shared" si="0"/>
        <v>2</v>
      </c>
      <c r="W40" s="34"/>
      <c r="X40" s="34"/>
      <c r="Y40" s="34"/>
      <c r="Z40" s="34"/>
      <c r="AA40" s="34"/>
      <c r="AB40" s="34"/>
      <c r="AC40" s="34"/>
      <c r="AD40" s="34"/>
      <c r="AE40" s="34"/>
      <c r="AF40" s="34"/>
      <c r="AG40" s="34"/>
      <c r="AH40" s="34"/>
      <c r="AI40" s="34"/>
    </row>
    <row r="41" spans="1:35" s="35" customFormat="1" ht="15" customHeight="1" thickBot="1" x14ac:dyDescent="0.25">
      <c r="A41" s="42" t="s">
        <v>499</v>
      </c>
      <c r="B41" s="18" t="s">
        <v>86</v>
      </c>
      <c r="C41" s="29">
        <v>25050667</v>
      </c>
      <c r="D41" s="21" t="s">
        <v>135</v>
      </c>
      <c r="E41" s="20" t="s">
        <v>136</v>
      </c>
      <c r="F41" s="22">
        <v>36000</v>
      </c>
      <c r="G41" s="23" t="s">
        <v>20</v>
      </c>
      <c r="H41" s="43">
        <v>4.1666666666666664E-2</v>
      </c>
      <c r="I41" s="20" t="s">
        <v>81</v>
      </c>
      <c r="J41" s="20" t="s">
        <v>81</v>
      </c>
      <c r="K41" s="56" t="s">
        <v>1602</v>
      </c>
      <c r="L41" s="52" t="s">
        <v>13</v>
      </c>
      <c r="M41" s="50" t="s">
        <v>24</v>
      </c>
      <c r="N41" s="51" t="s">
        <v>1586</v>
      </c>
      <c r="O41" s="51" t="s">
        <v>1520</v>
      </c>
      <c r="P41" s="35" t="str">
        <f>VLOOKUP(N41,Choferes!$A$2:$C$200,3)</f>
        <v xml:space="preserve">  2311</v>
      </c>
      <c r="Q41" s="35" t="str">
        <f>VLOOKUP(N41,Choferes!$A$2:$C$200,2)</f>
        <v>GB01</v>
      </c>
      <c r="R41" s="35" t="str">
        <f>VLOOKUP(O41,Choferes!$A$2:$C$200,3)</f>
        <v xml:space="preserve">  2189</v>
      </c>
      <c r="S41" s="35" t="str">
        <f>VLOOKUP(O41,Choferes!$A$2:$C$200,2)</f>
        <v>GB01</v>
      </c>
      <c r="T41" s="34">
        <f>VLOOKUP(N41,Choferes!$A$2:$E$163,5)</f>
        <v>35445596</v>
      </c>
      <c r="U41" s="34">
        <f>VLOOKUP(O41,Choferes!$A$2:$E$163,5)</f>
        <v>28957287</v>
      </c>
      <c r="V41" s="34">
        <f t="shared" si="0"/>
        <v>2</v>
      </c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</row>
    <row r="42" spans="1:35" s="35" customFormat="1" ht="15" customHeight="1" thickBot="1" x14ac:dyDescent="0.25">
      <c r="A42" s="42" t="s">
        <v>500</v>
      </c>
      <c r="B42" s="18" t="s">
        <v>37</v>
      </c>
      <c r="C42" s="29">
        <v>26882226</v>
      </c>
      <c r="D42" s="21" t="s">
        <v>137</v>
      </c>
      <c r="E42" s="21" t="s">
        <v>138</v>
      </c>
      <c r="F42" s="22">
        <v>37000</v>
      </c>
      <c r="G42" s="22" t="s">
        <v>17</v>
      </c>
      <c r="H42" s="43">
        <v>4.1666666666666664E-2</v>
      </c>
      <c r="I42" s="20" t="s">
        <v>81</v>
      </c>
      <c r="J42" s="20" t="s">
        <v>81</v>
      </c>
      <c r="K42" s="56" t="s">
        <v>1602</v>
      </c>
      <c r="L42" s="52" t="s">
        <v>13</v>
      </c>
      <c r="M42" s="50" t="s">
        <v>24</v>
      </c>
      <c r="N42" s="51" t="s">
        <v>1603</v>
      </c>
      <c r="O42" s="51" t="s">
        <v>261</v>
      </c>
      <c r="P42" s="35" t="str">
        <f>VLOOKUP(N42,Choferes!$A$2:$C$200,3)</f>
        <v xml:space="preserve">  1962</v>
      </c>
      <c r="Q42" s="35" t="str">
        <f>VLOOKUP(N42,Choferes!$A$2:$C$200,2)</f>
        <v>GB01</v>
      </c>
      <c r="R42" s="35" t="str">
        <f>VLOOKUP(O42,Choferes!$A$2:$C$200,3)</f>
        <v xml:space="preserve">  1177</v>
      </c>
      <c r="S42" s="35" t="str">
        <f>VLOOKUP(O42,Choferes!$A$2:$C$200,2)</f>
        <v>GB01</v>
      </c>
      <c r="T42" s="34">
        <f>VLOOKUP(N42,Choferes!$A$2:$E$163,5)</f>
        <v>30490263</v>
      </c>
      <c r="U42" s="34">
        <f>VLOOKUP(O42,Choferes!$A$2:$E$163,5)</f>
        <v>26882226</v>
      </c>
      <c r="V42" s="34">
        <f t="shared" si="0"/>
        <v>2</v>
      </c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</row>
    <row r="43" spans="1:35" s="35" customFormat="1" ht="15" customHeight="1" thickBot="1" x14ac:dyDescent="0.25">
      <c r="A43" s="42" t="s">
        <v>501</v>
      </c>
      <c r="B43" s="18" t="s">
        <v>28</v>
      </c>
      <c r="C43" s="19">
        <v>20013121</v>
      </c>
      <c r="D43" s="21" t="s">
        <v>139</v>
      </c>
      <c r="E43" s="21" t="s">
        <v>140</v>
      </c>
      <c r="F43" s="22">
        <v>36000</v>
      </c>
      <c r="G43" s="22" t="s">
        <v>26</v>
      </c>
      <c r="H43" s="43">
        <v>4.1666666666666664E-2</v>
      </c>
      <c r="I43" s="20" t="s">
        <v>81</v>
      </c>
      <c r="J43" s="20" t="s">
        <v>81</v>
      </c>
      <c r="K43" s="56" t="s">
        <v>1602</v>
      </c>
      <c r="L43" s="52" t="s">
        <v>13</v>
      </c>
      <c r="M43" s="50" t="s">
        <v>24</v>
      </c>
      <c r="N43" s="51" t="s">
        <v>437</v>
      </c>
      <c r="O43" s="51" t="s">
        <v>319</v>
      </c>
      <c r="P43" s="35" t="str">
        <f>VLOOKUP(N43,Choferes!$A$2:$C$200,3)</f>
        <v xml:space="preserve">  2115</v>
      </c>
      <c r="Q43" s="35" t="str">
        <f>VLOOKUP(N43,Choferes!$A$2:$C$200,2)</f>
        <v>GB01</v>
      </c>
      <c r="R43" s="35" t="str">
        <f>VLOOKUP(O43,Choferes!$A$2:$C$200,3)</f>
        <v xml:space="preserve">  1462</v>
      </c>
      <c r="S43" s="35" t="str">
        <f>VLOOKUP(O43,Choferes!$A$2:$C$200,2)</f>
        <v>GB01</v>
      </c>
      <c r="T43" s="34">
        <f>VLOOKUP(N43,Choferes!$A$2:$E$163,5)</f>
        <v>22780455</v>
      </c>
      <c r="U43" s="34">
        <f>VLOOKUP(O43,Choferes!$A$2:$E$163,5)</f>
        <v>22761805</v>
      </c>
      <c r="V43" s="34">
        <f t="shared" si="0"/>
        <v>2</v>
      </c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</row>
    <row r="44" spans="1:35" s="35" customFormat="1" ht="15" customHeight="1" thickBot="1" x14ac:dyDescent="0.25">
      <c r="A44" s="42" t="s">
        <v>502</v>
      </c>
      <c r="B44" s="30" t="s">
        <v>74</v>
      </c>
      <c r="C44" s="29" t="s">
        <v>75</v>
      </c>
      <c r="D44" s="20" t="s">
        <v>178</v>
      </c>
      <c r="E44" s="21" t="s">
        <v>89</v>
      </c>
      <c r="F44" s="22">
        <v>44000</v>
      </c>
      <c r="G44" s="22" t="s">
        <v>48</v>
      </c>
      <c r="H44" s="43">
        <v>4.1666666666666664E-2</v>
      </c>
      <c r="I44" s="20" t="s">
        <v>81</v>
      </c>
      <c r="J44" s="20" t="s">
        <v>81</v>
      </c>
      <c r="K44" s="56" t="s">
        <v>1602</v>
      </c>
      <c r="L44" s="52" t="s">
        <v>13</v>
      </c>
      <c r="M44" s="50" t="s">
        <v>24</v>
      </c>
      <c r="N44" s="51" t="s">
        <v>333</v>
      </c>
      <c r="O44" s="51" t="s">
        <v>363</v>
      </c>
      <c r="P44" s="35" t="str">
        <f>VLOOKUP(N44,Choferes!$A$2:$C$200,3)</f>
        <v xml:space="preserve">  1538</v>
      </c>
      <c r="Q44" s="35" t="str">
        <f>VLOOKUP(N44,Choferes!$A$2:$C$200,2)</f>
        <v>GB01</v>
      </c>
      <c r="R44" s="35" t="str">
        <f>VLOOKUP(O44,Choferes!$A$2:$C$200,3)</f>
        <v xml:space="preserve">  1825</v>
      </c>
      <c r="S44" s="35" t="str">
        <f>VLOOKUP(O44,Choferes!$A$2:$C$200,2)</f>
        <v>GB01</v>
      </c>
      <c r="T44" s="34">
        <f>VLOOKUP(N44,Choferes!$A$2:$E$163,5)</f>
        <v>32179545</v>
      </c>
      <c r="U44" s="34">
        <f>VLOOKUP(O44,Choferes!$A$2:$E$163,5)</f>
        <v>18131175</v>
      </c>
      <c r="V44" s="34">
        <f t="shared" si="0"/>
        <v>2</v>
      </c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</row>
    <row r="45" spans="1:35" s="35" customFormat="1" ht="15" customHeight="1" thickBot="1" x14ac:dyDescent="0.25">
      <c r="A45" s="42" t="s">
        <v>503</v>
      </c>
      <c r="B45" s="30" t="s">
        <v>76</v>
      </c>
      <c r="C45" s="29" t="s">
        <v>77</v>
      </c>
      <c r="D45" s="20" t="s">
        <v>141</v>
      </c>
      <c r="E45" s="21" t="s">
        <v>142</v>
      </c>
      <c r="F45" s="22">
        <v>36000</v>
      </c>
      <c r="G45" s="22" t="s">
        <v>26</v>
      </c>
      <c r="H45" s="43">
        <v>4.1666666666666664E-2</v>
      </c>
      <c r="I45" s="20" t="s">
        <v>81</v>
      </c>
      <c r="J45" s="20" t="s">
        <v>81</v>
      </c>
      <c r="K45" s="56" t="s">
        <v>1602</v>
      </c>
      <c r="L45" s="52" t="s">
        <v>13</v>
      </c>
      <c r="M45" s="50" t="s">
        <v>24</v>
      </c>
      <c r="N45" s="51" t="s">
        <v>285</v>
      </c>
      <c r="O45" s="51" t="s">
        <v>297</v>
      </c>
      <c r="P45" s="35" t="str">
        <f>VLOOKUP(N53,Choferes!$A$2:$C$200,3)</f>
        <v xml:space="preserve">  1551</v>
      </c>
      <c r="Q45" s="35" t="str">
        <f>VLOOKUP(N53,Choferes!$A$2:$C$200,2)</f>
        <v>GB01</v>
      </c>
      <c r="R45" s="35" t="str">
        <f>VLOOKUP(O45,Choferes!$A$2:$C$200,3)</f>
        <v xml:space="preserve">  1388</v>
      </c>
      <c r="S45" s="35" t="str">
        <f>VLOOKUP(O45,Choferes!$A$2:$C$200,2)</f>
        <v>GB01</v>
      </c>
      <c r="T45" s="34">
        <f>VLOOKUP(N45,Choferes!$A$2:$E$163,5)</f>
        <v>17020329</v>
      </c>
      <c r="U45" s="34">
        <f>VLOOKUP(O45,Choferes!$A$2:$E$163,5)</f>
        <v>17212799</v>
      </c>
      <c r="V45" s="34">
        <f t="shared" si="0"/>
        <v>2</v>
      </c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</row>
    <row r="46" spans="1:35" s="35" customFormat="1" ht="15" customHeight="1" thickBot="1" x14ac:dyDescent="0.25">
      <c r="A46" s="42" t="s">
        <v>504</v>
      </c>
      <c r="B46" s="47"/>
      <c r="C46" s="47"/>
      <c r="D46" s="20" t="s">
        <v>143</v>
      </c>
      <c r="E46" s="21" t="s">
        <v>144</v>
      </c>
      <c r="F46" s="22">
        <v>36000</v>
      </c>
      <c r="G46" s="22" t="s">
        <v>26</v>
      </c>
      <c r="H46" s="43">
        <v>0.125</v>
      </c>
      <c r="I46" s="20" t="s">
        <v>81</v>
      </c>
      <c r="J46" s="20"/>
      <c r="K46" s="56" t="s">
        <v>1602</v>
      </c>
      <c r="L46" s="52" t="s">
        <v>13</v>
      </c>
      <c r="M46" s="50" t="s">
        <v>24</v>
      </c>
      <c r="N46" s="51" t="s">
        <v>225</v>
      </c>
      <c r="O46" s="51"/>
      <c r="P46" s="35" t="str">
        <f>VLOOKUP(N46,Choferes!$A$2:$C$200,3)</f>
        <v xml:space="preserve">   737</v>
      </c>
      <c r="Q46" s="35" t="str">
        <f>VLOOKUP(N46,Choferes!$A$2:$C$200,2)</f>
        <v>GB01</v>
      </c>
      <c r="R46" s="35" t="e">
        <f>VLOOKUP(O46,Choferes!$A$2:$C$200,3)</f>
        <v>#N/A</v>
      </c>
      <c r="S46" s="35" t="e">
        <f>VLOOKUP(O46,Choferes!$A$2:$C$200,2)</f>
        <v>#N/A</v>
      </c>
      <c r="T46" s="34">
        <f>VLOOKUP(N46,Choferes!$A$2:$E$163,5)</f>
        <v>24458423</v>
      </c>
      <c r="U46" s="34" t="e">
        <f>VLOOKUP(O46,Choferes!$A$2:$E$163,5)</f>
        <v>#N/A</v>
      </c>
      <c r="V46" s="34">
        <f t="shared" si="0"/>
        <v>2</v>
      </c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</row>
    <row r="47" spans="1:35" s="35" customFormat="1" ht="15" customHeight="1" thickBot="1" x14ac:dyDescent="0.3">
      <c r="A47" s="42" t="s">
        <v>505</v>
      </c>
      <c r="B47" s="18" t="s">
        <v>33</v>
      </c>
      <c r="C47" s="19" t="s">
        <v>80</v>
      </c>
      <c r="D47" s="20" t="s">
        <v>84</v>
      </c>
      <c r="E47" s="57" t="s">
        <v>1612</v>
      </c>
      <c r="F47" s="22">
        <v>43000</v>
      </c>
      <c r="G47" s="22"/>
      <c r="H47" s="43"/>
      <c r="I47" s="20"/>
      <c r="J47" s="20"/>
      <c r="K47" s="56" t="s">
        <v>1602</v>
      </c>
      <c r="L47" s="52" t="s">
        <v>14</v>
      </c>
      <c r="M47" s="50" t="s">
        <v>24</v>
      </c>
      <c r="N47" s="51"/>
      <c r="O47" s="51"/>
      <c r="P47" s="35" t="e">
        <f>VLOOKUP(N47,Choferes!$A$2:$C$200,3)</f>
        <v>#N/A</v>
      </c>
      <c r="Q47" s="35" t="e">
        <f>VLOOKUP(N47,Choferes!$A$2:$C$200,2)</f>
        <v>#N/A</v>
      </c>
      <c r="R47" s="35" t="e">
        <f>VLOOKUP(O47,Choferes!$A$2:$C$200,3)</f>
        <v>#N/A</v>
      </c>
      <c r="S47" s="35" t="e">
        <f>VLOOKUP(O47,Choferes!$A$2:$C$200,2)</f>
        <v>#N/A</v>
      </c>
      <c r="T47" s="34" t="e">
        <f>VLOOKUP(N47,Choferes!$A$2:$E$163,5)</f>
        <v>#N/A</v>
      </c>
      <c r="U47" s="34" t="e">
        <f>VLOOKUP(O47,Choferes!$A$2:$E$163,5)</f>
        <v>#N/A</v>
      </c>
      <c r="V47" s="34">
        <f t="shared" si="0"/>
        <v>5</v>
      </c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</row>
    <row r="48" spans="1:35" s="35" customFormat="1" ht="15" customHeight="1" thickBot="1" x14ac:dyDescent="0.25">
      <c r="A48" s="42" t="s">
        <v>1549</v>
      </c>
      <c r="B48" s="18"/>
      <c r="C48" s="36"/>
      <c r="D48" s="20" t="s">
        <v>1550</v>
      </c>
      <c r="E48" s="21" t="s">
        <v>1551</v>
      </c>
      <c r="F48" s="37">
        <v>37000</v>
      </c>
      <c r="G48" s="22" t="s">
        <v>17</v>
      </c>
      <c r="H48" s="43">
        <v>0.625</v>
      </c>
      <c r="I48" s="20"/>
      <c r="J48" s="20" t="s">
        <v>81</v>
      </c>
      <c r="K48" s="56" t="s">
        <v>1602</v>
      </c>
      <c r="L48" s="52" t="s">
        <v>13</v>
      </c>
      <c r="M48" s="50" t="s">
        <v>24</v>
      </c>
      <c r="N48" s="51"/>
      <c r="O48" s="51" t="s">
        <v>1583</v>
      </c>
      <c r="P48" s="35" t="e">
        <f>VLOOKUP(N48,Choferes!$A$2:$C$200,3)</f>
        <v>#N/A</v>
      </c>
      <c r="Q48" s="35" t="e">
        <f>VLOOKUP(N48,Choferes!$A$2:$C$200,2)</f>
        <v>#N/A</v>
      </c>
      <c r="R48" s="35" t="str">
        <f>VLOOKUP(O48,Choferes!$A$2:$C$200,3)</f>
        <v xml:space="preserve">  1203</v>
      </c>
      <c r="S48" s="35" t="str">
        <f>VLOOKUP(O48,Choferes!$A$2:$C$200,2)</f>
        <v>GB01</v>
      </c>
      <c r="T48" s="34" t="e">
        <f>VLOOKUP(N48,Choferes!$A$2:$E$163,5)</f>
        <v>#N/A</v>
      </c>
      <c r="U48" s="34">
        <f>VLOOKUP(O48,Choferes!$A$2:$E$163,5)</f>
        <v>24935490</v>
      </c>
      <c r="V48" s="34">
        <f t="shared" si="0"/>
        <v>2</v>
      </c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</row>
    <row r="49" spans="1:35" s="35" customFormat="1" ht="15" customHeight="1" thickBot="1" x14ac:dyDescent="0.25">
      <c r="A49" s="42" t="s">
        <v>1545</v>
      </c>
      <c r="B49" s="18"/>
      <c r="C49" s="36"/>
      <c r="D49" s="45" t="s">
        <v>1546</v>
      </c>
      <c r="E49" s="48" t="s">
        <v>1547</v>
      </c>
      <c r="F49" s="37">
        <v>37000</v>
      </c>
      <c r="G49" s="22" t="s">
        <v>17</v>
      </c>
      <c r="H49" s="43">
        <v>0.33333333333333331</v>
      </c>
      <c r="I49" s="20" t="s">
        <v>81</v>
      </c>
      <c r="J49" s="20"/>
      <c r="K49" s="56" t="s">
        <v>1602</v>
      </c>
      <c r="L49" s="52" t="s">
        <v>13</v>
      </c>
      <c r="M49" s="50" t="s">
        <v>24</v>
      </c>
      <c r="N49" s="51" t="s">
        <v>227</v>
      </c>
      <c r="O49" s="51"/>
      <c r="P49" s="35" t="str">
        <f>VLOOKUP(N49,Choferes!$A$2:$C$200,3)</f>
        <v xml:space="preserve">   762</v>
      </c>
      <c r="Q49" s="35" t="str">
        <f>VLOOKUP(N49,Choferes!$A$2:$C$200,2)</f>
        <v>GB01</v>
      </c>
      <c r="R49" s="35" t="e">
        <f>VLOOKUP(O49,Choferes!$A$2:$C$200,3)</f>
        <v>#N/A</v>
      </c>
      <c r="S49" s="35" t="e">
        <f>VLOOKUP(O49,Choferes!$A$2:$C$200,2)</f>
        <v>#N/A</v>
      </c>
      <c r="T49" s="34">
        <f>VLOOKUP(N49,Choferes!$A$2:$E$163,5)</f>
        <v>32949846</v>
      </c>
      <c r="U49" s="34" t="e">
        <f>VLOOKUP(O49,Choferes!$A$2:$E$163,5)</f>
        <v>#N/A</v>
      </c>
      <c r="V49" s="34">
        <f t="shared" si="0"/>
        <v>2</v>
      </c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</row>
    <row r="50" spans="1:35" s="35" customFormat="1" ht="15" customHeight="1" thickBot="1" x14ac:dyDescent="0.25">
      <c r="A50" s="42" t="s">
        <v>506</v>
      </c>
      <c r="B50" s="18"/>
      <c r="C50" s="19"/>
      <c r="D50" s="20" t="s">
        <v>181</v>
      </c>
      <c r="E50" s="21" t="s">
        <v>145</v>
      </c>
      <c r="F50" s="23">
        <v>25000</v>
      </c>
      <c r="G50" s="23" t="s">
        <v>20</v>
      </c>
      <c r="H50" s="43">
        <v>4.1666666666666664E-2</v>
      </c>
      <c r="I50" s="20" t="s">
        <v>81</v>
      </c>
      <c r="J50" s="20" t="s">
        <v>81</v>
      </c>
      <c r="K50" s="56" t="s">
        <v>1602</v>
      </c>
      <c r="L50" s="52" t="s">
        <v>13</v>
      </c>
      <c r="M50" s="50" t="s">
        <v>24</v>
      </c>
      <c r="N50" s="51" t="s">
        <v>321</v>
      </c>
      <c r="O50" s="51" t="s">
        <v>357</v>
      </c>
      <c r="P50" s="35" t="e">
        <f>VLOOKUP(#REF!,Choferes!$A$2:$C$200,3)</f>
        <v>#REF!</v>
      </c>
      <c r="Q50" s="35" t="e">
        <f>VLOOKUP(#REF!,Choferes!$A$2:$C$200,2)</f>
        <v>#REF!</v>
      </c>
      <c r="R50" s="35" t="str">
        <f>VLOOKUP(O50,Choferes!$A$2:$C$200,3)</f>
        <v xml:space="preserve">  1816</v>
      </c>
      <c r="S50" s="35" t="str">
        <f>VLOOKUP(O50,Choferes!$A$2:$C$200,2)</f>
        <v>GB01</v>
      </c>
      <c r="T50" s="34">
        <f>VLOOKUP(N50,Choferes!$A$2:$E$163,5)</f>
        <v>31459990</v>
      </c>
      <c r="U50" s="34">
        <f>VLOOKUP(O50,Choferes!$A$2:$E$163,5)</f>
        <v>17805138</v>
      </c>
      <c r="V50" s="34">
        <f t="shared" si="0"/>
        <v>2</v>
      </c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</row>
    <row r="51" spans="1:35" s="35" customFormat="1" ht="15" customHeight="1" thickBot="1" x14ac:dyDescent="0.25">
      <c r="A51" s="42" t="s">
        <v>507</v>
      </c>
      <c r="B51" s="18" t="s">
        <v>88</v>
      </c>
      <c r="C51" s="19" t="s">
        <v>147</v>
      </c>
      <c r="D51" s="20" t="s">
        <v>179</v>
      </c>
      <c r="E51" s="21" t="s">
        <v>180</v>
      </c>
      <c r="F51" s="22">
        <v>30000</v>
      </c>
      <c r="G51" s="23" t="s">
        <v>29</v>
      </c>
      <c r="H51" s="43">
        <v>4.1666666666666664E-2</v>
      </c>
      <c r="I51" s="20" t="s">
        <v>81</v>
      </c>
      <c r="J51" s="20" t="s">
        <v>81</v>
      </c>
      <c r="K51" s="56" t="s">
        <v>1602</v>
      </c>
      <c r="L51" s="52" t="s">
        <v>13</v>
      </c>
      <c r="M51" s="50" t="s">
        <v>24</v>
      </c>
      <c r="N51" s="51" t="s">
        <v>439</v>
      </c>
      <c r="O51" s="51" t="s">
        <v>427</v>
      </c>
      <c r="P51" s="35" t="str">
        <f>VLOOKUP(N51,Choferes!$A$2:$C$200,3)</f>
        <v xml:space="preserve">  2127</v>
      </c>
      <c r="Q51" s="35" t="str">
        <f>VLOOKUP(N51,Choferes!$A$2:$C$200,2)</f>
        <v>GB01</v>
      </c>
      <c r="R51" s="35" t="str">
        <f>VLOOKUP(O51,Choferes!$A$2:$C$200,3)</f>
        <v xml:space="preserve">  2067</v>
      </c>
      <c r="S51" s="35" t="str">
        <f>VLOOKUP(O51,Choferes!$A$2:$C$200,2)</f>
        <v>GB01</v>
      </c>
      <c r="T51" s="34">
        <f>VLOOKUP(N51,Choferes!$A$2:$E$163,5)</f>
        <v>31251226</v>
      </c>
      <c r="U51" s="34">
        <f>VLOOKUP(O51,Choferes!$A$2:$E$163,5)</f>
        <v>26670589</v>
      </c>
      <c r="V51" s="34">
        <f t="shared" si="0"/>
        <v>2</v>
      </c>
      <c r="W51" s="34"/>
      <c r="X51" s="34"/>
      <c r="Y51" s="34"/>
      <c r="Z51" s="34" t="s">
        <v>184</v>
      </c>
      <c r="AA51" s="34"/>
      <c r="AB51" s="34"/>
      <c r="AC51" s="34"/>
      <c r="AD51" s="34"/>
      <c r="AE51" s="34"/>
      <c r="AF51" s="34"/>
      <c r="AG51" s="34"/>
      <c r="AH51" s="34"/>
      <c r="AI51" s="34"/>
    </row>
    <row r="52" spans="1:35" s="35" customFormat="1" ht="15" customHeight="1" thickBot="1" x14ac:dyDescent="0.25">
      <c r="A52" s="42" t="s">
        <v>508</v>
      </c>
      <c r="B52" s="18" t="s">
        <v>44</v>
      </c>
      <c r="C52" s="19" t="s">
        <v>45</v>
      </c>
      <c r="D52" s="20" t="s">
        <v>148</v>
      </c>
      <c r="E52" s="21" t="s">
        <v>46</v>
      </c>
      <c r="F52" s="22">
        <v>43000</v>
      </c>
      <c r="G52" s="23" t="s">
        <v>47</v>
      </c>
      <c r="H52" s="43">
        <v>0.125</v>
      </c>
      <c r="I52" s="20" t="s">
        <v>81</v>
      </c>
      <c r="J52" s="20" t="s">
        <v>81</v>
      </c>
      <c r="K52" s="56" t="s">
        <v>1602</v>
      </c>
      <c r="L52" s="52" t="s">
        <v>13</v>
      </c>
      <c r="M52" s="50" t="s">
        <v>24</v>
      </c>
      <c r="N52" s="51" t="s">
        <v>213</v>
      </c>
      <c r="O52" s="51" t="s">
        <v>431</v>
      </c>
      <c r="P52" s="35" t="str">
        <f>VLOOKUP(N16,Choferes!$A$2:$C$200,3)</f>
        <v xml:space="preserve">   360</v>
      </c>
      <c r="Q52" s="35" t="str">
        <f>VLOOKUP(N16,Choferes!$A$2:$C$200,2)</f>
        <v>GB01</v>
      </c>
      <c r="R52" s="35" t="str">
        <f>VLOOKUP(O40,Choferes!$A$2:$C$200,3)</f>
        <v xml:space="preserve">    43</v>
      </c>
      <c r="S52" s="35" t="str">
        <f>VLOOKUP(O40,Choferes!$A$2:$C$200,2)</f>
        <v>GB03</v>
      </c>
      <c r="T52" s="34">
        <f>VLOOKUP(N52,Choferes!$A$2:$E$163,5)</f>
        <v>27282900</v>
      </c>
      <c r="U52" s="34">
        <f>VLOOKUP(O52,Choferes!$A$2:$E$163,5)</f>
        <v>27070174</v>
      </c>
      <c r="V52" s="34">
        <f t="shared" si="0"/>
        <v>2</v>
      </c>
      <c r="W52" s="34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</row>
    <row r="53" spans="1:35" s="35" customFormat="1" ht="13.5" thickBot="1" x14ac:dyDescent="0.25">
      <c r="A53" s="42" t="s">
        <v>509</v>
      </c>
      <c r="B53" s="30" t="s">
        <v>35</v>
      </c>
      <c r="C53" s="29" t="s">
        <v>153</v>
      </c>
      <c r="D53" s="20" t="s">
        <v>149</v>
      </c>
      <c r="E53" s="21" t="s">
        <v>150</v>
      </c>
      <c r="F53" s="22">
        <v>36000</v>
      </c>
      <c r="G53" s="22" t="s">
        <v>177</v>
      </c>
      <c r="H53" s="43">
        <v>4.1666666666666664E-2</v>
      </c>
      <c r="I53" s="20" t="s">
        <v>81</v>
      </c>
      <c r="J53" s="20"/>
      <c r="K53" s="56" t="s">
        <v>1602</v>
      </c>
      <c r="L53" s="52" t="s">
        <v>13</v>
      </c>
      <c r="M53" s="50" t="s">
        <v>24</v>
      </c>
      <c r="N53" s="51" t="s">
        <v>337</v>
      </c>
      <c r="O53" s="51"/>
      <c r="P53" s="35" t="e">
        <f>VLOOKUP(#REF!,Choferes!$A$2:$C$200,3)</f>
        <v>#REF!</v>
      </c>
      <c r="Q53" s="35" t="e">
        <f>VLOOKUP(#REF!,Choferes!$A$2:$C$200,2)</f>
        <v>#REF!</v>
      </c>
      <c r="R53" s="35" t="e">
        <f>VLOOKUP(O53,Choferes!$A$2:$C$200,3)</f>
        <v>#N/A</v>
      </c>
      <c r="S53" s="35" t="e">
        <f>VLOOKUP(O53,Choferes!$A$2:$C$200,2)</f>
        <v>#N/A</v>
      </c>
      <c r="T53" s="34">
        <f>VLOOKUP(N53,Choferes!$A$2:$E$163,5)</f>
        <v>25998782</v>
      </c>
      <c r="U53" s="34" t="e">
        <f>VLOOKUP(O53,Choferes!$A$2:$E$163,5)</f>
        <v>#N/A</v>
      </c>
      <c r="V53" s="34">
        <f t="shared" si="0"/>
        <v>2</v>
      </c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</row>
    <row r="54" spans="1:35" s="35" customFormat="1" ht="13.5" thickBot="1" x14ac:dyDescent="0.25">
      <c r="A54" s="42" t="s">
        <v>510</v>
      </c>
      <c r="B54" s="30" t="s">
        <v>27</v>
      </c>
      <c r="C54" s="25" t="s">
        <v>54</v>
      </c>
      <c r="D54" s="20" t="s">
        <v>154</v>
      </c>
      <c r="E54" s="21" t="s">
        <v>155</v>
      </c>
      <c r="F54" s="22">
        <v>36000</v>
      </c>
      <c r="G54" s="22" t="s">
        <v>177</v>
      </c>
      <c r="H54" s="43">
        <v>0.125</v>
      </c>
      <c r="I54" s="20" t="s">
        <v>81</v>
      </c>
      <c r="J54" s="20" t="s">
        <v>81</v>
      </c>
      <c r="K54" s="56" t="s">
        <v>1602</v>
      </c>
      <c r="L54" s="52" t="s">
        <v>13</v>
      </c>
      <c r="M54" s="50" t="s">
        <v>24</v>
      </c>
      <c r="N54" s="51" t="s">
        <v>233</v>
      </c>
      <c r="O54" s="51" t="s">
        <v>1595</v>
      </c>
      <c r="P54" s="35" t="str">
        <f>VLOOKUP(N54,Choferes!$A$2:$C$200,3)</f>
        <v xml:space="preserve">   847</v>
      </c>
      <c r="Q54" s="35" t="str">
        <f>VLOOKUP(N54,Choferes!$A$2:$C$200,2)</f>
        <v>GB01</v>
      </c>
      <c r="R54" s="35" t="str">
        <f>VLOOKUP(O54,Choferes!$A$2:$C$200,3)</f>
        <v xml:space="preserve">  1807</v>
      </c>
      <c r="S54" s="35" t="str">
        <f>VLOOKUP(O54,Choferes!$A$2:$C$200,2)</f>
        <v>GB01</v>
      </c>
      <c r="T54" s="34">
        <f>VLOOKUP(N54,Choferes!$A$2:$E$163,5)</f>
        <v>25887569</v>
      </c>
      <c r="U54" s="34">
        <f>VLOOKUP(O54,Choferes!$A$2:$E$163,5)</f>
        <v>24310804</v>
      </c>
      <c r="V54" s="34">
        <f t="shared" si="0"/>
        <v>2</v>
      </c>
      <c r="W54" s="34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</row>
    <row r="55" spans="1:35" s="35" customFormat="1" ht="13.5" thickBot="1" x14ac:dyDescent="0.25">
      <c r="A55" s="42" t="s">
        <v>511</v>
      </c>
      <c r="B55" s="30"/>
      <c r="C55" s="25"/>
      <c r="D55" s="20" t="s">
        <v>194</v>
      </c>
      <c r="E55" s="21" t="s">
        <v>195</v>
      </c>
      <c r="F55" s="22">
        <v>36000</v>
      </c>
      <c r="G55" s="22" t="s">
        <v>177</v>
      </c>
      <c r="H55" s="43">
        <v>0.125</v>
      </c>
      <c r="I55" s="20" t="s">
        <v>81</v>
      </c>
      <c r="J55" s="20" t="s">
        <v>81</v>
      </c>
      <c r="K55" s="56" t="s">
        <v>1602</v>
      </c>
      <c r="L55" s="52" t="s">
        <v>13</v>
      </c>
      <c r="M55" s="50" t="s">
        <v>24</v>
      </c>
      <c r="N55" s="51" t="s">
        <v>383</v>
      </c>
      <c r="O55" s="51" t="s">
        <v>413</v>
      </c>
      <c r="P55" s="35" t="str">
        <f>VLOOKUP(N55,Choferes!$A$2:$C$200,3)</f>
        <v xml:space="preserve">  1995</v>
      </c>
      <c r="Q55" s="35" t="str">
        <f>VLOOKUP(N55,Choferes!$A$2:$C$200,2)</f>
        <v>GB01</v>
      </c>
      <c r="R55" s="35" t="str">
        <f>VLOOKUP(O55,Choferes!$A$2:$C$200,3)</f>
        <v xml:space="preserve">  2014</v>
      </c>
      <c r="S55" s="35" t="str">
        <f>VLOOKUP(O55,Choferes!$A$2:$C$200,2)</f>
        <v>GB01</v>
      </c>
      <c r="T55" s="34">
        <f>VLOOKUP(N55,Choferes!$A$2:$E$163,5)</f>
        <v>30438972</v>
      </c>
      <c r="U55" s="34">
        <f>VLOOKUP(O55,Choferes!$A$2:$E$163,5)</f>
        <v>35392278</v>
      </c>
      <c r="V55" s="34">
        <f t="shared" si="0"/>
        <v>2</v>
      </c>
      <c r="W55" s="34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</row>
    <row r="56" spans="1:35" s="35" customFormat="1" ht="13.5" thickBot="1" x14ac:dyDescent="0.25">
      <c r="A56" s="42" t="s">
        <v>512</v>
      </c>
      <c r="B56" s="18" t="s">
        <v>156</v>
      </c>
      <c r="C56" s="29" t="s">
        <v>157</v>
      </c>
      <c r="D56" s="20" t="s">
        <v>158</v>
      </c>
      <c r="E56" s="21" t="s">
        <v>182</v>
      </c>
      <c r="F56" s="22">
        <v>36000</v>
      </c>
      <c r="G56" s="22" t="s">
        <v>177</v>
      </c>
      <c r="H56" s="43">
        <v>0.125</v>
      </c>
      <c r="I56" s="20" t="s">
        <v>81</v>
      </c>
      <c r="J56" s="20" t="s">
        <v>81</v>
      </c>
      <c r="K56" s="56" t="s">
        <v>1602</v>
      </c>
      <c r="L56" s="52" t="s">
        <v>13</v>
      </c>
      <c r="M56" s="50" t="s">
        <v>24</v>
      </c>
      <c r="N56" s="51" t="s">
        <v>377</v>
      </c>
      <c r="O56" s="51" t="s">
        <v>445</v>
      </c>
      <c r="P56" s="35" t="str">
        <f>VLOOKUP(N56,Choferes!$A$2:$C$200,3)</f>
        <v xml:space="preserve">  1992</v>
      </c>
      <c r="Q56" s="35" t="str">
        <f>VLOOKUP(N56,Choferes!$A$2:$C$200,2)</f>
        <v>GB01</v>
      </c>
      <c r="R56" s="35" t="str">
        <f>VLOOKUP(O56,Choferes!$A$2:$C$200,3)</f>
        <v xml:space="preserve">  2130</v>
      </c>
      <c r="S56" s="35" t="str">
        <f>VLOOKUP(O56,Choferes!$A$2:$C$200,2)</f>
        <v>GB01</v>
      </c>
      <c r="T56" s="34">
        <f>VLOOKUP(N56,Choferes!$A$2:$E$163,5)</f>
        <v>29575559</v>
      </c>
      <c r="U56" s="34">
        <f>VLOOKUP(O56,Choferes!$A$2:$E$163,5)</f>
        <v>25901218</v>
      </c>
      <c r="V56" s="34">
        <f t="shared" si="0"/>
        <v>2</v>
      </c>
      <c r="W56" s="34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</row>
    <row r="57" spans="1:35" s="35" customFormat="1" ht="13.5" thickBot="1" x14ac:dyDescent="0.25">
      <c r="A57" s="42" t="s">
        <v>513</v>
      </c>
      <c r="B57" s="18"/>
      <c r="C57" s="29"/>
      <c r="D57" s="20" t="s">
        <v>196</v>
      </c>
      <c r="E57" s="21" t="s">
        <v>197</v>
      </c>
      <c r="F57" s="22">
        <v>36000</v>
      </c>
      <c r="G57" s="22" t="s">
        <v>177</v>
      </c>
      <c r="H57" s="43">
        <v>0.125</v>
      </c>
      <c r="I57" s="20" t="s">
        <v>81</v>
      </c>
      <c r="J57" s="20" t="s">
        <v>81</v>
      </c>
      <c r="K57" s="56" t="s">
        <v>1602</v>
      </c>
      <c r="L57" s="52" t="s">
        <v>13</v>
      </c>
      <c r="M57" s="50" t="s">
        <v>24</v>
      </c>
      <c r="N57" s="51" t="s">
        <v>397</v>
      </c>
      <c r="O57" s="51" t="s">
        <v>347</v>
      </c>
      <c r="P57" s="35" t="str">
        <f>VLOOKUP(N57,Choferes!$A$2:$C$200,3)</f>
        <v xml:space="preserve">  2004</v>
      </c>
      <c r="Q57" s="35" t="str">
        <f>VLOOKUP(N57,Choferes!$A$2:$C$200,2)</f>
        <v>GB01</v>
      </c>
      <c r="R57" s="35" t="str">
        <f>VLOOKUP(O57,Choferes!$A$2:$C$200,3)</f>
        <v xml:space="preserve">  1666</v>
      </c>
      <c r="S57" s="35" t="str">
        <f>VLOOKUP(O57,Choferes!$A$2:$C$200,2)</f>
        <v>GB01</v>
      </c>
      <c r="T57" s="34">
        <f>VLOOKUP(N57,Choferes!$A$2:$E$163,5)</f>
        <v>38532171</v>
      </c>
      <c r="U57" s="34">
        <f>VLOOKUP(O57,Choferes!$A$2:$E$163,5)</f>
        <v>35632470</v>
      </c>
      <c r="V57" s="34">
        <f t="shared" si="0"/>
        <v>2</v>
      </c>
      <c r="W57" s="34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</row>
    <row r="58" spans="1:35" s="35" customFormat="1" ht="13.5" thickBot="1" x14ac:dyDescent="0.25">
      <c r="A58" s="42" t="s">
        <v>514</v>
      </c>
      <c r="B58" s="18"/>
      <c r="C58" s="29"/>
      <c r="D58" s="20" t="s">
        <v>198</v>
      </c>
      <c r="E58" s="21" t="s">
        <v>199</v>
      </c>
      <c r="F58" s="22">
        <v>36000</v>
      </c>
      <c r="G58" s="22" t="s">
        <v>177</v>
      </c>
      <c r="H58" s="43">
        <v>4.1666666666666664E-2</v>
      </c>
      <c r="I58" s="20" t="s">
        <v>81</v>
      </c>
      <c r="J58" s="20" t="s">
        <v>81</v>
      </c>
      <c r="K58" s="56" t="s">
        <v>1602</v>
      </c>
      <c r="L58" s="52" t="s">
        <v>13</v>
      </c>
      <c r="M58" s="50" t="s">
        <v>24</v>
      </c>
      <c r="N58" s="51" t="s">
        <v>267</v>
      </c>
      <c r="O58" s="51" t="s">
        <v>1562</v>
      </c>
      <c r="P58" s="35" t="str">
        <f>VLOOKUP(N58,Choferes!$A$2:$C$200,3)</f>
        <v xml:space="preserve">  1189</v>
      </c>
      <c r="Q58" s="35" t="str">
        <f>VLOOKUP(N58,Choferes!$A$2:$C$200,2)</f>
        <v>GB01</v>
      </c>
      <c r="R58" s="35" t="str">
        <f>VLOOKUP(O58,Choferes!$A$2:$C$200,3)</f>
        <v xml:space="preserve">  1274</v>
      </c>
      <c r="S58" s="35" t="str">
        <f>VLOOKUP(O58,Choferes!$A$2:$C$200,2)</f>
        <v>GB01</v>
      </c>
      <c r="T58" s="34">
        <f>VLOOKUP(N58,Choferes!$A$2:$E$163,5)</f>
        <v>34021625</v>
      </c>
      <c r="U58" s="34">
        <f>VLOOKUP(O58,Choferes!$A$2:$E$163,5)</f>
        <v>30251273</v>
      </c>
      <c r="V58" s="34">
        <f t="shared" si="0"/>
        <v>2</v>
      </c>
      <c r="W58" s="34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</row>
    <row r="59" spans="1:35" s="35" customFormat="1" ht="13.5" thickBot="1" x14ac:dyDescent="0.25">
      <c r="A59" s="42" t="s">
        <v>515</v>
      </c>
      <c r="B59" s="30" t="s">
        <v>119</v>
      </c>
      <c r="C59" s="29" t="s">
        <v>67</v>
      </c>
      <c r="D59" s="20" t="s">
        <v>159</v>
      </c>
      <c r="E59" s="21" t="s">
        <v>161</v>
      </c>
      <c r="F59" s="22">
        <v>25000</v>
      </c>
      <c r="G59" s="23" t="s">
        <v>20</v>
      </c>
      <c r="H59" s="43">
        <v>4.1666666666666664E-2</v>
      </c>
      <c r="I59" s="20" t="s">
        <v>81</v>
      </c>
      <c r="J59" s="20" t="s">
        <v>81</v>
      </c>
      <c r="K59" s="56" t="s">
        <v>1602</v>
      </c>
      <c r="L59" s="52" t="s">
        <v>13</v>
      </c>
      <c r="M59" s="50" t="s">
        <v>24</v>
      </c>
      <c r="N59" s="51" t="s">
        <v>401</v>
      </c>
      <c r="O59" s="51" t="s">
        <v>1522</v>
      </c>
      <c r="P59" s="35" t="str">
        <f>VLOOKUP(N59,Choferes!$A$2:$C$200,3)</f>
        <v xml:space="preserve">  2006</v>
      </c>
      <c r="Q59" s="35" t="str">
        <f>VLOOKUP(N59,Choferes!$A$2:$C$200,2)</f>
        <v>GB01</v>
      </c>
      <c r="R59" s="35" t="str">
        <f>VLOOKUP(O59,Choferes!$A$2:$C$200,3)</f>
        <v xml:space="preserve">  2195</v>
      </c>
      <c r="S59" s="35" t="str">
        <f>VLOOKUP(O59,Choferes!$A$2:$C$200,2)</f>
        <v>GB01</v>
      </c>
      <c r="T59" s="34">
        <f>VLOOKUP(N59,Choferes!$A$2:$E$163,5)</f>
        <v>38440365</v>
      </c>
      <c r="U59" s="34">
        <f>VLOOKUP(O59,Choferes!$A$2:$E$163,5)</f>
        <v>25232099</v>
      </c>
      <c r="V59" s="34">
        <f t="shared" si="0"/>
        <v>2</v>
      </c>
      <c r="W59" s="34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</row>
    <row r="60" spans="1:35" s="35" customFormat="1" ht="13.5" thickBot="1" x14ac:dyDescent="0.25">
      <c r="A60" s="42" t="s">
        <v>516</v>
      </c>
      <c r="B60" s="18" t="s">
        <v>167</v>
      </c>
      <c r="C60" s="19"/>
      <c r="D60" s="20" t="s">
        <v>160</v>
      </c>
      <c r="E60" s="21" t="s">
        <v>162</v>
      </c>
      <c r="F60" s="23">
        <v>36000</v>
      </c>
      <c r="G60" s="22" t="s">
        <v>177</v>
      </c>
      <c r="H60" s="43">
        <v>0.125</v>
      </c>
      <c r="I60" s="20" t="s">
        <v>81</v>
      </c>
      <c r="J60" s="20"/>
      <c r="K60" s="56" t="s">
        <v>1602</v>
      </c>
      <c r="L60" s="52" t="s">
        <v>13</v>
      </c>
      <c r="M60" s="50" t="s">
        <v>24</v>
      </c>
      <c r="N60" s="51" t="s">
        <v>1523</v>
      </c>
      <c r="O60" s="51"/>
      <c r="P60" s="35" t="str">
        <f>VLOOKUP(N60,Choferes!$A$2:$C$200,3)</f>
        <v xml:space="preserve">  2196</v>
      </c>
      <c r="Q60" s="35" t="str">
        <f>VLOOKUP(N60,Choferes!$A$2:$C$200,2)</f>
        <v>GB01</v>
      </c>
      <c r="R60" s="35" t="e">
        <f>VLOOKUP(O60,Choferes!$A$2:$C$200,3)</f>
        <v>#N/A</v>
      </c>
      <c r="S60" s="35" t="e">
        <f>VLOOKUP(O60,Choferes!$A$2:$C$200,2)</f>
        <v>#N/A</v>
      </c>
      <c r="T60" s="34">
        <f>VLOOKUP(N60,Choferes!$A$2:$E$163,5)</f>
        <v>34256117</v>
      </c>
      <c r="U60" s="34" t="e">
        <f>VLOOKUP(O60,Choferes!$A$2:$E$163,5)</f>
        <v>#N/A</v>
      </c>
      <c r="V60" s="34">
        <f t="shared" si="0"/>
        <v>2</v>
      </c>
      <c r="W60" s="34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</row>
    <row r="61" spans="1:35" s="35" customFormat="1" ht="13.5" thickBot="1" x14ac:dyDescent="0.25">
      <c r="A61" s="42" t="s">
        <v>517</v>
      </c>
      <c r="B61" s="18" t="s">
        <v>87</v>
      </c>
      <c r="C61" s="19" t="s">
        <v>146</v>
      </c>
      <c r="D61" s="20" t="s">
        <v>163</v>
      </c>
      <c r="E61" s="21" t="s">
        <v>164</v>
      </c>
      <c r="F61" s="22">
        <v>25000</v>
      </c>
      <c r="G61" s="23" t="s">
        <v>20</v>
      </c>
      <c r="H61" s="43">
        <v>4.1666666666666664E-2</v>
      </c>
      <c r="I61" s="20" t="s">
        <v>81</v>
      </c>
      <c r="J61" s="20"/>
      <c r="K61" s="56" t="s">
        <v>1602</v>
      </c>
      <c r="L61" s="52" t="s">
        <v>13</v>
      </c>
      <c r="M61" s="50" t="s">
        <v>24</v>
      </c>
      <c r="N61" s="51" t="s">
        <v>1552</v>
      </c>
      <c r="O61" s="51"/>
      <c r="P61" s="35" t="str">
        <f>VLOOKUP(N61,Choferes!$A$2:$C$200,3)</f>
        <v xml:space="preserve">  2246</v>
      </c>
      <c r="Q61" s="35" t="str">
        <f>VLOOKUP(N61,Choferes!$A$2:$C$200,2)</f>
        <v>GB01</v>
      </c>
      <c r="R61" s="35" t="e">
        <f>VLOOKUP(O61,Choferes!$A$2:$C$200,3)</f>
        <v>#N/A</v>
      </c>
      <c r="S61" s="35" t="e">
        <f>VLOOKUP(O61,Choferes!$A$2:$C$200,2)</f>
        <v>#N/A</v>
      </c>
      <c r="T61" s="34">
        <f>VLOOKUP(N61,Choferes!$A$2:$E$163,5)</f>
        <v>25805769</v>
      </c>
      <c r="U61" s="34" t="e">
        <f>VLOOKUP(O61,Choferes!$A$2:$E$163,5)</f>
        <v>#N/A</v>
      </c>
      <c r="V61" s="34">
        <f t="shared" si="0"/>
        <v>2</v>
      </c>
      <c r="W61" s="34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</row>
    <row r="62" spans="1:35" s="35" customFormat="1" ht="13.5" thickBot="1" x14ac:dyDescent="0.25">
      <c r="A62" s="42" t="s">
        <v>518</v>
      </c>
      <c r="B62" s="18" t="s">
        <v>175</v>
      </c>
      <c r="C62" s="19" t="s">
        <v>176</v>
      </c>
      <c r="D62" s="20" t="s">
        <v>165</v>
      </c>
      <c r="E62" s="21" t="s">
        <v>166</v>
      </c>
      <c r="F62" s="22">
        <v>36000</v>
      </c>
      <c r="G62" s="22" t="s">
        <v>177</v>
      </c>
      <c r="H62" s="43"/>
      <c r="I62" s="20"/>
      <c r="J62" s="20"/>
      <c r="K62" s="56" t="s">
        <v>1602</v>
      </c>
      <c r="L62" s="52" t="s">
        <v>1555</v>
      </c>
      <c r="M62" s="50" t="s">
        <v>24</v>
      </c>
      <c r="N62" s="51" t="s">
        <v>343</v>
      </c>
      <c r="O62" s="51"/>
      <c r="P62" s="35" t="str">
        <f>VLOOKUP(N62,Choferes!$A$2:$C$200,3)</f>
        <v xml:space="preserve">  1664</v>
      </c>
      <c r="Q62" s="35" t="str">
        <f>VLOOKUP(N62,Choferes!$A$2:$C$200,2)</f>
        <v>GB01</v>
      </c>
      <c r="R62" s="35" t="e">
        <f>VLOOKUP(O62,Choferes!$A$2:$C$200,3)</f>
        <v>#N/A</v>
      </c>
      <c r="S62" s="35" t="e">
        <f>VLOOKUP(O62,Choferes!$A$2:$C$200,2)</f>
        <v>#N/A</v>
      </c>
      <c r="T62" s="34">
        <f>VLOOKUP(N62,Choferes!$A$2:$E$163,5)</f>
        <v>92163317</v>
      </c>
      <c r="U62" s="34" t="e">
        <f>VLOOKUP(O62,Choferes!$A$2:$E$163,5)</f>
        <v>#N/A</v>
      </c>
      <c r="V62" s="34">
        <f t="shared" si="0"/>
        <v>4</v>
      </c>
      <c r="W62" s="34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4"/>
    </row>
    <row r="63" spans="1:35" s="35" customFormat="1" ht="13.5" thickBot="1" x14ac:dyDescent="0.25">
      <c r="A63" s="42" t="s">
        <v>519</v>
      </c>
      <c r="B63" s="18" t="s">
        <v>168</v>
      </c>
      <c r="C63" s="19"/>
      <c r="D63" s="20" t="s">
        <v>169</v>
      </c>
      <c r="E63" s="21" t="s">
        <v>170</v>
      </c>
      <c r="F63" s="23">
        <v>36000</v>
      </c>
      <c r="G63" s="22" t="s">
        <v>177</v>
      </c>
      <c r="H63" s="43">
        <v>0.125</v>
      </c>
      <c r="I63" s="20" t="s">
        <v>81</v>
      </c>
      <c r="J63" s="20" t="s">
        <v>81</v>
      </c>
      <c r="K63" s="56" t="s">
        <v>1602</v>
      </c>
      <c r="L63" s="52" t="s">
        <v>13</v>
      </c>
      <c r="M63" s="50" t="s">
        <v>24</v>
      </c>
      <c r="N63" s="51" t="s">
        <v>423</v>
      </c>
      <c r="O63" s="51" t="s">
        <v>249</v>
      </c>
      <c r="P63" s="35" t="str">
        <f>VLOOKUP(N63,Choferes!$A$2:$C$200,3)</f>
        <v xml:space="preserve">  2028</v>
      </c>
      <c r="Q63" s="35" t="str">
        <f>VLOOKUP(N63,Choferes!$A$2:$C$200,2)</f>
        <v>GB01</v>
      </c>
      <c r="R63" s="35" t="str">
        <f>VLOOKUP(O63,Choferes!$A$2:$C$200,3)</f>
        <v xml:space="preserve">  1015</v>
      </c>
      <c r="S63" s="35" t="str">
        <f>VLOOKUP(O63,Choferes!$A$2:$C$200,2)</f>
        <v>GB01</v>
      </c>
      <c r="T63" s="34">
        <f>VLOOKUP(N63,Choferes!$A$2:$E$163,5)</f>
        <v>29052804</v>
      </c>
      <c r="U63" s="34">
        <f>VLOOKUP(O63,Choferes!$A$2:$E$163,5)</f>
        <v>25504578</v>
      </c>
      <c r="V63" s="34">
        <f t="shared" si="0"/>
        <v>2</v>
      </c>
      <c r="W63" s="34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4"/>
    </row>
    <row r="64" spans="1:35" s="35" customFormat="1" ht="13.5" thickBot="1" x14ac:dyDescent="0.25">
      <c r="A64" s="42" t="s">
        <v>1597</v>
      </c>
      <c r="B64" s="18"/>
      <c r="C64" s="19"/>
      <c r="D64" s="20" t="s">
        <v>1598</v>
      </c>
      <c r="E64" s="21" t="s">
        <v>1599</v>
      </c>
      <c r="F64" s="23">
        <v>36000</v>
      </c>
      <c r="G64" s="22" t="s">
        <v>177</v>
      </c>
      <c r="H64" s="43">
        <v>4.1666666666666664E-2</v>
      </c>
      <c r="I64" s="20" t="s">
        <v>81</v>
      </c>
      <c r="J64" s="20"/>
      <c r="K64" s="56" t="s">
        <v>1602</v>
      </c>
      <c r="L64" s="52" t="s">
        <v>13</v>
      </c>
      <c r="M64" s="50" t="s">
        <v>24</v>
      </c>
      <c r="N64" s="51" t="s">
        <v>343</v>
      </c>
      <c r="O64" s="51"/>
      <c r="T64" s="34">
        <f>VLOOKUP(N64,Choferes!$A$2:$E$163,5)</f>
        <v>92163317</v>
      </c>
      <c r="U64" s="34" t="e">
        <f>VLOOKUP(O64,Choferes!$A$2:$E$163,5)</f>
        <v>#N/A</v>
      </c>
      <c r="V64" s="34">
        <f t="shared" si="0"/>
        <v>2</v>
      </c>
      <c r="W64" s="34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  <c r="AI64" s="34"/>
    </row>
    <row r="65" spans="1:35" s="35" customFormat="1" ht="13.5" thickBot="1" x14ac:dyDescent="0.25">
      <c r="A65" s="42" t="s">
        <v>520</v>
      </c>
      <c r="B65" s="18" t="s">
        <v>78</v>
      </c>
      <c r="C65" s="29" t="s">
        <v>79</v>
      </c>
      <c r="D65" s="20" t="s">
        <v>171</v>
      </c>
      <c r="E65" s="21" t="s">
        <v>172</v>
      </c>
      <c r="F65" s="22">
        <v>36000</v>
      </c>
      <c r="G65" s="22" t="s">
        <v>177</v>
      </c>
      <c r="H65" s="43">
        <v>0.125</v>
      </c>
      <c r="I65" s="20" t="s">
        <v>81</v>
      </c>
      <c r="J65" s="20"/>
      <c r="K65" s="56" t="s">
        <v>1602</v>
      </c>
      <c r="L65" s="52" t="s">
        <v>13</v>
      </c>
      <c r="M65" s="50" t="s">
        <v>24</v>
      </c>
      <c r="N65" s="51" t="s">
        <v>373</v>
      </c>
      <c r="O65" s="51"/>
      <c r="P65" s="35" t="str">
        <f>VLOOKUP(N65,Choferes!$A$2:$C$200,3)</f>
        <v xml:space="preserve">  1956</v>
      </c>
      <c r="Q65" s="35" t="str">
        <f>VLOOKUP(N65,Choferes!$A$2:$C$200,2)</f>
        <v>GB01</v>
      </c>
      <c r="R65" s="35" t="e">
        <f>VLOOKUP(O65,Choferes!$A$2:$C$200,3)</f>
        <v>#N/A</v>
      </c>
      <c r="S65" s="35" t="e">
        <f>VLOOKUP(O65,Choferes!$A$2:$C$200,2)</f>
        <v>#N/A</v>
      </c>
      <c r="T65" s="34">
        <f>VLOOKUP(N65,Choferes!$A$2:$E$163,5)</f>
        <v>24910776</v>
      </c>
      <c r="U65" s="34" t="e">
        <f>VLOOKUP(O65,Choferes!$A$2:$E$163,5)</f>
        <v>#N/A</v>
      </c>
      <c r="V65" s="34">
        <f t="shared" si="0"/>
        <v>2</v>
      </c>
      <c r="W65" s="34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4"/>
    </row>
    <row r="66" spans="1:35" ht="13.5" thickBot="1" x14ac:dyDescent="0.25">
      <c r="A66" s="42" t="s">
        <v>521</v>
      </c>
      <c r="B66" s="30" t="s">
        <v>63</v>
      </c>
      <c r="C66" s="29" t="s">
        <v>64</v>
      </c>
      <c r="D66" s="20" t="s">
        <v>173</v>
      </c>
      <c r="E66" s="21" t="s">
        <v>174</v>
      </c>
      <c r="F66" s="22">
        <v>36000</v>
      </c>
      <c r="G66" s="22" t="s">
        <v>177</v>
      </c>
      <c r="H66" s="43">
        <v>0.125</v>
      </c>
      <c r="I66" s="20" t="s">
        <v>81</v>
      </c>
      <c r="J66" s="20" t="s">
        <v>81</v>
      </c>
      <c r="K66" s="56" t="s">
        <v>1602</v>
      </c>
      <c r="L66" s="52" t="s">
        <v>13</v>
      </c>
      <c r="M66" s="50" t="s">
        <v>24</v>
      </c>
      <c r="N66" s="51" t="s">
        <v>1593</v>
      </c>
      <c r="O66" s="51" t="s">
        <v>1566</v>
      </c>
      <c r="P66" s="1" t="str">
        <f>VLOOKUP(N66,Choferes!$A$2:$C$200,3)</f>
        <v xml:space="preserve">  1027</v>
      </c>
      <c r="Q66" s="1" t="str">
        <f>VLOOKUP(N66,Choferes!$A$2:$C$200,2)</f>
        <v>GB03</v>
      </c>
      <c r="R66" s="1" t="str">
        <f>VLOOKUP(O66,Choferes!$A$2:$C$200,3)</f>
        <v xml:space="preserve">  2261</v>
      </c>
      <c r="S66" s="1" t="str">
        <f>VLOOKUP(O66,Choferes!$A$2:$C$200,2)</f>
        <v>GB01</v>
      </c>
      <c r="T66" s="34">
        <f>VLOOKUP(N66,Choferes!$A$2:$E$163,5)</f>
        <v>24716983</v>
      </c>
      <c r="U66" s="34">
        <f>VLOOKUP(O66,Choferes!$A$2:$E$163,5)</f>
        <v>24708749</v>
      </c>
      <c r="V66" s="34">
        <f t="shared" si="0"/>
        <v>2</v>
      </c>
    </row>
    <row r="67" spans="1:35" x14ac:dyDescent="0.2">
      <c r="A67" s="10" t="s">
        <v>40</v>
      </c>
      <c r="P67" s="1" t="e">
        <f>VLOOKUP(N67,Choferes!$A$2:$C$200,3)</f>
        <v>#N/A</v>
      </c>
      <c r="Q67" s="1" t="e">
        <f>VLOOKUP(N67,Choferes!$A$2:$C$200,2)</f>
        <v>#N/A</v>
      </c>
      <c r="R67" s="1" t="e">
        <f>VLOOKUP(O67,Choferes!$A$2:$C$200,3)</f>
        <v>#N/A</v>
      </c>
      <c r="S67" s="1" t="e">
        <f>VLOOKUP(O67,Choferes!$A$2:$C$200,2)</f>
        <v>#N/A</v>
      </c>
      <c r="T67" s="34" t="e">
        <f>VLOOKUP(N67,Choferes!$A$2:$E$163,5)</f>
        <v>#N/A</v>
      </c>
      <c r="U67" s="34" t="e">
        <f>VLOOKUP(O67,Choferes!$A$2:$E$163,5)</f>
        <v>#N/A</v>
      </c>
      <c r="V67" s="34" t="b">
        <f t="shared" si="0"/>
        <v>0</v>
      </c>
    </row>
    <row r="77" spans="1:35" ht="11.25" x14ac:dyDescent="0.2">
      <c r="H77" s="1"/>
    </row>
    <row r="78" spans="1:35" ht="11.25" x14ac:dyDescent="0.2">
      <c r="H78" s="1"/>
    </row>
    <row r="79" spans="1:35" ht="11.25" x14ac:dyDescent="0.2">
      <c r="H79" s="1"/>
    </row>
    <row r="80" spans="1:35" ht="11.25" x14ac:dyDescent="0.2">
      <c r="H80" s="1"/>
    </row>
    <row r="81" spans="8:12" ht="11.25" x14ac:dyDescent="0.2">
      <c r="H81" s="1"/>
    </row>
    <row r="82" spans="8:12" ht="11.25" x14ac:dyDescent="0.2">
      <c r="H82" s="1"/>
    </row>
    <row r="91" spans="8:12" x14ac:dyDescent="0.2">
      <c r="L91" s="1">
        <v>5</v>
      </c>
    </row>
    <row r="93" spans="8:12" x14ac:dyDescent="0.2">
      <c r="L93" s="1">
        <v>44</v>
      </c>
    </row>
  </sheetData>
  <autoFilter ref="A8:Z67" xr:uid="{00000000-0009-0000-0000-000001000000}"/>
  <conditionalFormatting sqref="L37">
    <cfRule type="cellIs" dxfId="81" priority="1518" stopIfTrue="1" operator="notEqual">
      <formula>"DISPONIBLE"</formula>
    </cfRule>
  </conditionalFormatting>
  <conditionalFormatting sqref="L37">
    <cfRule type="cellIs" dxfId="80" priority="1517" stopIfTrue="1" operator="notEqual">
      <formula>"DISPONIBLE"</formula>
    </cfRule>
  </conditionalFormatting>
  <conditionalFormatting sqref="L22">
    <cfRule type="cellIs" dxfId="79" priority="1287" stopIfTrue="1" operator="notEqual">
      <formula>"DISPONIBLE"</formula>
    </cfRule>
  </conditionalFormatting>
  <conditionalFormatting sqref="L22">
    <cfRule type="cellIs" dxfId="78" priority="1286" stopIfTrue="1" operator="notEqual">
      <formula>"DISPONIBLE"</formula>
    </cfRule>
  </conditionalFormatting>
  <conditionalFormatting sqref="L26">
    <cfRule type="cellIs" dxfId="77" priority="950" stopIfTrue="1" operator="notEqual">
      <formula>"DISPONIBLE"</formula>
    </cfRule>
  </conditionalFormatting>
  <conditionalFormatting sqref="L26">
    <cfRule type="cellIs" dxfId="76" priority="949" stopIfTrue="1" operator="notEqual">
      <formula>"DISPONIBLE"</formula>
    </cfRule>
  </conditionalFormatting>
  <conditionalFormatting sqref="L28">
    <cfRule type="cellIs" dxfId="75" priority="723" stopIfTrue="1" operator="notEqual">
      <formula>"DISPONIBLE"</formula>
    </cfRule>
  </conditionalFormatting>
  <conditionalFormatting sqref="L34:L35">
    <cfRule type="cellIs" dxfId="74" priority="710" stopIfTrue="1" operator="notEqual">
      <formula>"DISPONIBLE"</formula>
    </cfRule>
  </conditionalFormatting>
  <conditionalFormatting sqref="L34:L35">
    <cfRule type="cellIs" dxfId="73" priority="709" stopIfTrue="1" operator="notEqual">
      <formula>"DISPONIBLE"</formula>
    </cfRule>
  </conditionalFormatting>
  <conditionalFormatting sqref="L43">
    <cfRule type="cellIs" dxfId="72" priority="659" stopIfTrue="1" operator="notEqual">
      <formula>"DISPONIBLE"</formula>
    </cfRule>
  </conditionalFormatting>
  <conditionalFormatting sqref="L33">
    <cfRule type="cellIs" dxfId="71" priority="489" stopIfTrue="1" operator="notEqual">
      <formula>"DISPONIBLE"</formula>
    </cfRule>
  </conditionalFormatting>
  <conditionalFormatting sqref="L33">
    <cfRule type="cellIs" dxfId="70" priority="488" stopIfTrue="1" operator="notEqual">
      <formula>"DISPONIBLE"</formula>
    </cfRule>
  </conditionalFormatting>
  <conditionalFormatting sqref="L61">
    <cfRule type="cellIs" dxfId="69" priority="435" stopIfTrue="1" operator="notEqual">
      <formula>"DISPONIBLE"</formula>
    </cfRule>
  </conditionalFormatting>
  <conditionalFormatting sqref="L50">
    <cfRule type="cellIs" dxfId="68" priority="416" stopIfTrue="1" operator="notEqual">
      <formula>"DISPONIBLE"</formula>
    </cfRule>
  </conditionalFormatting>
  <conditionalFormatting sqref="L48">
    <cfRule type="cellIs" dxfId="67" priority="335" stopIfTrue="1" operator="notEqual">
      <formula>"DISPONIBLE"</formula>
    </cfRule>
  </conditionalFormatting>
  <conditionalFormatting sqref="L19:L20">
    <cfRule type="cellIs" dxfId="66" priority="308" stopIfTrue="1" operator="notEqual">
      <formula>"DISPONIBLE"</formula>
    </cfRule>
  </conditionalFormatting>
  <conditionalFormatting sqref="L19:L20">
    <cfRule type="cellIs" dxfId="65" priority="307" stopIfTrue="1" operator="notEqual">
      <formula>"DISPONIBLE"</formula>
    </cfRule>
  </conditionalFormatting>
  <conditionalFormatting sqref="L29:L30">
    <cfRule type="cellIs" dxfId="64" priority="294" stopIfTrue="1" operator="notEqual">
      <formula>"DISPONIBLE"</formula>
    </cfRule>
  </conditionalFormatting>
  <conditionalFormatting sqref="L58">
    <cfRule type="cellIs" dxfId="63" priority="291" stopIfTrue="1" operator="notEqual">
      <formula>"DISPONIBLE"</formula>
    </cfRule>
  </conditionalFormatting>
  <conditionalFormatting sqref="L59">
    <cfRule type="cellIs" dxfId="62" priority="267" stopIfTrue="1" operator="notEqual">
      <formula>"DISPONIBLE"</formula>
    </cfRule>
  </conditionalFormatting>
  <conditionalFormatting sqref="L13">
    <cfRule type="cellIs" dxfId="61" priority="254" stopIfTrue="1" operator="notEqual">
      <formula>"DISPONIBLE"</formula>
    </cfRule>
  </conditionalFormatting>
  <conditionalFormatting sqref="L13">
    <cfRule type="cellIs" dxfId="60" priority="253" stopIfTrue="1" operator="notEqual">
      <formula>"DISPONIBLE"</formula>
    </cfRule>
  </conditionalFormatting>
  <conditionalFormatting sqref="L55">
    <cfRule type="cellIs" dxfId="59" priority="208" stopIfTrue="1" operator="notEqual">
      <formula>"DISPONIBLE"</formula>
    </cfRule>
  </conditionalFormatting>
  <conditionalFormatting sqref="L12">
    <cfRule type="cellIs" dxfId="58" priority="207" stopIfTrue="1" operator="notEqual">
      <formula>"DISPONIBLE"</formula>
    </cfRule>
  </conditionalFormatting>
  <conditionalFormatting sqref="L12">
    <cfRule type="cellIs" dxfId="57" priority="206" stopIfTrue="1" operator="notEqual">
      <formula>"DISPONIBLE"</formula>
    </cfRule>
  </conditionalFormatting>
  <conditionalFormatting sqref="L52">
    <cfRule type="cellIs" dxfId="56" priority="201" stopIfTrue="1" operator="notEqual">
      <formula>"DISPONIBLE"</formula>
    </cfRule>
  </conditionalFormatting>
  <conditionalFormatting sqref="L10">
    <cfRule type="cellIs" dxfId="55" priority="193" stopIfTrue="1" operator="notEqual">
      <formula>"DISPONIBLE"</formula>
    </cfRule>
  </conditionalFormatting>
  <conditionalFormatting sqref="L10">
    <cfRule type="cellIs" dxfId="54" priority="192" stopIfTrue="1" operator="notEqual">
      <formula>"DISPONIBLE"</formula>
    </cfRule>
  </conditionalFormatting>
  <conditionalFormatting sqref="L53">
    <cfRule type="cellIs" dxfId="53" priority="182" stopIfTrue="1" operator="notEqual">
      <formula>"DISPONIBLE"</formula>
    </cfRule>
  </conditionalFormatting>
  <conditionalFormatting sqref="L44">
    <cfRule type="cellIs" dxfId="52" priority="174" stopIfTrue="1" operator="notEqual">
      <formula>"DISPONIBLE"</formula>
    </cfRule>
  </conditionalFormatting>
  <conditionalFormatting sqref="L31">
    <cfRule type="cellIs" dxfId="51" priority="169" stopIfTrue="1" operator="notEqual">
      <formula>"DISPONIBLE"</formula>
    </cfRule>
  </conditionalFormatting>
  <conditionalFormatting sqref="L41">
    <cfRule type="cellIs" dxfId="50" priority="162" stopIfTrue="1" operator="notEqual">
      <formula>"DISPONIBLE"</formula>
    </cfRule>
  </conditionalFormatting>
  <conditionalFormatting sqref="L42">
    <cfRule type="cellIs" dxfId="49" priority="160" stopIfTrue="1" operator="notEqual">
      <formula>"DISPONIBLE"</formula>
    </cfRule>
  </conditionalFormatting>
  <conditionalFormatting sqref="L14">
    <cfRule type="cellIs" dxfId="48" priority="140" stopIfTrue="1" operator="notEqual">
      <formula>"DISPONIBLE"</formula>
    </cfRule>
  </conditionalFormatting>
  <conditionalFormatting sqref="L14">
    <cfRule type="cellIs" dxfId="47" priority="139" stopIfTrue="1" operator="notEqual">
      <formula>"DISPONIBLE"</formula>
    </cfRule>
  </conditionalFormatting>
  <conditionalFormatting sqref="L40">
    <cfRule type="cellIs" dxfId="46" priority="130" stopIfTrue="1" operator="notEqual">
      <formula>"DISPONIBLE"</formula>
    </cfRule>
  </conditionalFormatting>
  <conditionalFormatting sqref="L23">
    <cfRule type="cellIs" dxfId="45" priority="129" stopIfTrue="1" operator="notEqual">
      <formula>"DISPONIBLE"</formula>
    </cfRule>
  </conditionalFormatting>
  <conditionalFormatting sqref="L23">
    <cfRule type="cellIs" dxfId="44" priority="128" stopIfTrue="1" operator="notEqual">
      <formula>"DISPONIBLE"</formula>
    </cfRule>
  </conditionalFormatting>
  <conditionalFormatting sqref="L51">
    <cfRule type="cellIs" dxfId="43" priority="112" stopIfTrue="1" operator="notEqual">
      <formula>"DISPONIBLE"</formula>
    </cfRule>
  </conditionalFormatting>
  <conditionalFormatting sqref="L16">
    <cfRule type="cellIs" dxfId="42" priority="108" stopIfTrue="1" operator="notEqual">
      <formula>"DISPONIBLE"</formula>
    </cfRule>
  </conditionalFormatting>
  <conditionalFormatting sqref="L16">
    <cfRule type="cellIs" dxfId="41" priority="107" stopIfTrue="1" operator="notEqual">
      <formula>"DISPONIBLE"</formula>
    </cfRule>
  </conditionalFormatting>
  <conditionalFormatting sqref="L17">
    <cfRule type="cellIs" dxfId="40" priority="90" stopIfTrue="1" operator="notEqual">
      <formula>"DISPONIBLE"</formula>
    </cfRule>
  </conditionalFormatting>
  <conditionalFormatting sqref="L49">
    <cfRule type="cellIs" dxfId="39" priority="97" stopIfTrue="1" operator="notEqual">
      <formula>"DISPONIBLE"</formula>
    </cfRule>
  </conditionalFormatting>
  <conditionalFormatting sqref="L17">
    <cfRule type="cellIs" dxfId="38" priority="91" stopIfTrue="1" operator="notEqual">
      <formula>"DISPONIBLE"</formula>
    </cfRule>
  </conditionalFormatting>
  <conditionalFormatting sqref="L38">
    <cfRule type="cellIs" dxfId="37" priority="84" stopIfTrue="1" operator="notEqual">
      <formula>"DISPONIBLE"</formula>
    </cfRule>
  </conditionalFormatting>
  <conditionalFormatting sqref="L46">
    <cfRule type="cellIs" dxfId="36" priority="92" stopIfTrue="1" operator="notEqual">
      <formula>"DISPONIBLE"</formula>
    </cfRule>
  </conditionalFormatting>
  <conditionalFormatting sqref="L38">
    <cfRule type="cellIs" dxfId="35" priority="83" stopIfTrue="1" operator="notEqual">
      <formula>"DISPONIBLE"</formula>
    </cfRule>
  </conditionalFormatting>
  <conditionalFormatting sqref="L24">
    <cfRule type="cellIs" dxfId="34" priority="53" stopIfTrue="1" operator="notEqual">
      <formula>"DISPONIBLE"</formula>
    </cfRule>
  </conditionalFormatting>
  <conditionalFormatting sqref="L54">
    <cfRule type="cellIs" dxfId="33" priority="62" stopIfTrue="1" operator="notEqual">
      <formula>"DISPONIBLE"</formula>
    </cfRule>
  </conditionalFormatting>
  <conditionalFormatting sqref="L39">
    <cfRule type="cellIs" dxfId="32" priority="61" stopIfTrue="1" operator="notEqual">
      <formula>"DISPONIBLE"</formula>
    </cfRule>
  </conditionalFormatting>
  <conditionalFormatting sqref="L11">
    <cfRule type="cellIs" dxfId="31" priority="60" stopIfTrue="1" operator="notEqual">
      <formula>"DISPONIBLE"</formula>
    </cfRule>
  </conditionalFormatting>
  <conditionalFormatting sqref="L11">
    <cfRule type="cellIs" dxfId="30" priority="59" stopIfTrue="1" operator="notEqual">
      <formula>"DISPONIBLE"</formula>
    </cfRule>
  </conditionalFormatting>
  <conditionalFormatting sqref="L57">
    <cfRule type="cellIs" dxfId="29" priority="56" stopIfTrue="1" operator="notEqual">
      <formula>"DISPONIBLE"</formula>
    </cfRule>
  </conditionalFormatting>
  <conditionalFormatting sqref="L24">
    <cfRule type="cellIs" dxfId="28" priority="52" stopIfTrue="1" operator="notEqual">
      <formula>"DISPONIBLE"</formula>
    </cfRule>
  </conditionalFormatting>
  <conditionalFormatting sqref="L45">
    <cfRule type="cellIs" dxfId="27" priority="46" stopIfTrue="1" operator="notEqual">
      <formula>"DISPONIBLE"</formula>
    </cfRule>
  </conditionalFormatting>
  <conditionalFormatting sqref="L18">
    <cfRule type="cellIs" dxfId="26" priority="41" stopIfTrue="1" operator="notEqual">
      <formula>"DISPONIBLE"</formula>
    </cfRule>
  </conditionalFormatting>
  <conditionalFormatting sqref="L18">
    <cfRule type="cellIs" dxfId="25" priority="40" stopIfTrue="1" operator="notEqual">
      <formula>"DISPONIBLE"</formula>
    </cfRule>
  </conditionalFormatting>
  <conditionalFormatting sqref="L56">
    <cfRule type="cellIs" dxfId="24" priority="31" stopIfTrue="1" operator="notEqual">
      <formula>"DISPONIBLE"</formula>
    </cfRule>
  </conditionalFormatting>
  <conditionalFormatting sqref="L27">
    <cfRule type="cellIs" dxfId="23" priority="30" stopIfTrue="1" operator="notEqual">
      <formula>"DISPONIBLE"</formula>
    </cfRule>
  </conditionalFormatting>
  <conditionalFormatting sqref="L27">
    <cfRule type="cellIs" dxfId="22" priority="29" stopIfTrue="1" operator="notEqual">
      <formula>"DISPONIBLE"</formula>
    </cfRule>
  </conditionalFormatting>
  <conditionalFormatting sqref="L15">
    <cfRule type="cellIs" dxfId="21" priority="24" stopIfTrue="1" operator="notEqual">
      <formula>"DISPONIBLE"</formula>
    </cfRule>
  </conditionalFormatting>
  <conditionalFormatting sqref="L15">
    <cfRule type="cellIs" dxfId="20" priority="23" stopIfTrue="1" operator="notEqual">
      <formula>"DISPONIBLE"</formula>
    </cfRule>
  </conditionalFormatting>
  <conditionalFormatting sqref="L65">
    <cfRule type="cellIs" dxfId="19" priority="22" stopIfTrue="1" operator="notEqual">
      <formula>"DISPONIBLE"</formula>
    </cfRule>
  </conditionalFormatting>
  <conditionalFormatting sqref="L9">
    <cfRule type="cellIs" dxfId="18" priority="21" stopIfTrue="1" operator="notEqual">
      <formula>"DISPONIBLE"</formula>
    </cfRule>
  </conditionalFormatting>
  <conditionalFormatting sqref="L9">
    <cfRule type="cellIs" dxfId="17" priority="20" stopIfTrue="1" operator="notEqual">
      <formula>"DISPONIBLE"</formula>
    </cfRule>
  </conditionalFormatting>
  <conditionalFormatting sqref="L60">
    <cfRule type="cellIs" dxfId="16" priority="19" stopIfTrue="1" operator="notEqual">
      <formula>"DISPONIBLE"</formula>
    </cfRule>
  </conditionalFormatting>
  <conditionalFormatting sqref="L21">
    <cfRule type="cellIs" dxfId="15" priority="16" stopIfTrue="1" operator="notEqual">
      <formula>"DISPONIBLE"</formula>
    </cfRule>
  </conditionalFormatting>
  <conditionalFormatting sqref="L21">
    <cfRule type="cellIs" dxfId="14" priority="15" stopIfTrue="1" operator="notEqual">
      <formula>"DISPONIBLE"</formula>
    </cfRule>
  </conditionalFormatting>
  <conditionalFormatting sqref="L36">
    <cfRule type="cellIs" dxfId="13" priority="14" stopIfTrue="1" operator="notEqual">
      <formula>"DISPONIBLE"</formula>
    </cfRule>
  </conditionalFormatting>
  <conditionalFormatting sqref="L36">
    <cfRule type="cellIs" dxfId="12" priority="13" stopIfTrue="1" operator="notEqual">
      <formula>"DISPONIBLE"</formula>
    </cfRule>
  </conditionalFormatting>
  <conditionalFormatting sqref="L32">
    <cfRule type="cellIs" dxfId="11" priority="12" stopIfTrue="1" operator="notEqual">
      <formula>"DISPONIBLE"</formula>
    </cfRule>
  </conditionalFormatting>
  <conditionalFormatting sqref="L32">
    <cfRule type="cellIs" dxfId="10" priority="11" stopIfTrue="1" operator="notEqual">
      <formula>"DISPONIBLE"</formula>
    </cfRule>
  </conditionalFormatting>
  <conditionalFormatting sqref="L63">
    <cfRule type="cellIs" dxfId="9" priority="10" stopIfTrue="1" operator="notEqual">
      <formula>"DISPONIBLE"</formula>
    </cfRule>
  </conditionalFormatting>
  <conditionalFormatting sqref="L63">
    <cfRule type="cellIs" dxfId="8" priority="9" stopIfTrue="1" operator="notEqual">
      <formula>"DISPONIBLE"</formula>
    </cfRule>
  </conditionalFormatting>
  <conditionalFormatting sqref="L62">
    <cfRule type="cellIs" dxfId="7" priority="8" stopIfTrue="1" operator="notEqual">
      <formula>"DISPONIBLE"</formula>
    </cfRule>
  </conditionalFormatting>
  <conditionalFormatting sqref="L66">
    <cfRule type="cellIs" dxfId="6" priority="7" stopIfTrue="1" operator="notEqual">
      <formula>"DISPONIBLE"</formula>
    </cfRule>
  </conditionalFormatting>
  <conditionalFormatting sqref="L66">
    <cfRule type="cellIs" dxfId="5" priority="6" stopIfTrue="1" operator="notEqual">
      <formula>"DISPONIBLE"</formula>
    </cfRule>
  </conditionalFormatting>
  <conditionalFormatting sqref="L47">
    <cfRule type="cellIs" dxfId="4" priority="5" stopIfTrue="1" operator="notEqual">
      <formula>"DISPONIBLE"</formula>
    </cfRule>
  </conditionalFormatting>
  <conditionalFormatting sqref="L25">
    <cfRule type="cellIs" dxfId="3" priority="4" stopIfTrue="1" operator="notEqual">
      <formula>"DISPONIBLE"</formula>
    </cfRule>
  </conditionalFormatting>
  <conditionalFormatting sqref="L25">
    <cfRule type="cellIs" dxfId="2" priority="3" stopIfTrue="1" operator="notEqual">
      <formula>"DISPONIBLE"</formula>
    </cfRule>
  </conditionalFormatting>
  <conditionalFormatting sqref="L64">
    <cfRule type="cellIs" dxfId="1" priority="2" stopIfTrue="1" operator="notEqual">
      <formula>"DISPONIBLE"</formula>
    </cfRule>
  </conditionalFormatting>
  <conditionalFormatting sqref="L64">
    <cfRule type="cellIs" dxfId="0" priority="1" stopIfTrue="1" operator="notEqual">
      <formula>"DISPONIBLE"</formula>
    </cfRule>
  </conditionalFormatting>
  <dataValidations count="3">
    <dataValidation type="list" allowBlank="1" showInputMessage="1" showErrorMessage="1" sqref="M9:M66" xr:uid="{00000000-0002-0000-0100-000000000000}">
      <formula1>$S$9:$S$46</formula1>
    </dataValidation>
    <dataValidation type="list" allowBlank="1" showInputMessage="1" showErrorMessage="1" sqref="L9:L66" xr:uid="{00000000-0002-0000-0100-000001000000}">
      <formula1>$L$1:$L$6</formula1>
    </dataValidation>
    <dataValidation type="list" allowBlank="1" showInputMessage="1" showErrorMessage="1" sqref="K37 K42:K47 K56 K51:K54 K9:K34 K59:K61" xr:uid="{00000000-0002-0000-0100-000002000000}">
      <formula1>$Q$9:$Q$41</formula1>
    </dataValidation>
  </dataValidations>
  <pageMargins left="0.11811023622047245" right="0.11811023622047245" top="0.35433070866141736" bottom="0.15748031496062992" header="0.31496062992125984" footer="0.31496062992125984"/>
  <pageSetup scale="73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3000000}">
          <x14:formula1>
            <xm:f>Choferes!$A$2:$A$200</xm:f>
          </x14:formula1>
          <xm:sqref>N9:N66 O9:O67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A4"/>
  <sheetViews>
    <sheetView workbookViewId="0">
      <selection activeCell="E13" sqref="E13"/>
    </sheetView>
  </sheetViews>
  <sheetFormatPr baseColWidth="10" defaultRowHeight="15" x14ac:dyDescent="0.25"/>
  <sheetData>
    <row r="1" spans="1:1" x14ac:dyDescent="0.25">
      <c r="A1" t="s">
        <v>5</v>
      </c>
    </row>
    <row r="2" spans="1:1" x14ac:dyDescent="0.25">
      <c r="A2" t="s">
        <v>523</v>
      </c>
    </row>
    <row r="3" spans="1:1" x14ac:dyDescent="0.25">
      <c r="A3" t="s">
        <v>522</v>
      </c>
    </row>
    <row r="4" spans="1:1" x14ac:dyDescent="0.25">
      <c r="A4" t="s">
        <v>524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E163"/>
  <sheetViews>
    <sheetView workbookViewId="0">
      <selection activeCell="I4" sqref="I4"/>
    </sheetView>
  </sheetViews>
  <sheetFormatPr baseColWidth="10" defaultRowHeight="15" x14ac:dyDescent="0.25"/>
  <cols>
    <col min="1" max="1" width="37.5703125" bestFit="1" customWidth="1"/>
    <col min="2" max="2" width="19" bestFit="1" customWidth="1"/>
    <col min="3" max="3" width="18.42578125" style="33" bestFit="1" customWidth="1"/>
  </cols>
  <sheetData>
    <row r="1" spans="1:5" x14ac:dyDescent="0.25">
      <c r="A1" t="s">
        <v>204</v>
      </c>
      <c r="B1" s="33" t="s">
        <v>202</v>
      </c>
      <c r="C1" s="33" t="s">
        <v>203</v>
      </c>
      <c r="E1" t="s">
        <v>6</v>
      </c>
    </row>
    <row r="2" spans="1:5" x14ac:dyDescent="0.25">
      <c r="A2" t="s">
        <v>255</v>
      </c>
      <c r="B2" s="33" t="s">
        <v>205</v>
      </c>
      <c r="C2" s="33" t="s">
        <v>254</v>
      </c>
      <c r="D2">
        <f t="shared" ref="D2:D33" si="0">LEN(C2)</f>
        <v>6</v>
      </c>
      <c r="E2">
        <v>20013121</v>
      </c>
    </row>
    <row r="3" spans="1:5" x14ac:dyDescent="0.25">
      <c r="A3" t="s">
        <v>1607</v>
      </c>
      <c r="B3" t="s">
        <v>205</v>
      </c>
      <c r="C3" s="33" t="s">
        <v>1608</v>
      </c>
      <c r="D3">
        <f t="shared" si="0"/>
        <v>6</v>
      </c>
      <c r="E3">
        <v>41170197</v>
      </c>
    </row>
    <row r="4" spans="1:5" x14ac:dyDescent="0.25">
      <c r="A4" t="s">
        <v>1586</v>
      </c>
      <c r="B4" t="s">
        <v>205</v>
      </c>
      <c r="C4" s="33" t="s">
        <v>1590</v>
      </c>
      <c r="D4">
        <f t="shared" si="0"/>
        <v>6</v>
      </c>
      <c r="E4">
        <v>35445596</v>
      </c>
    </row>
    <row r="5" spans="1:5" x14ac:dyDescent="0.25">
      <c r="A5" t="s">
        <v>351</v>
      </c>
      <c r="B5" s="33" t="s">
        <v>205</v>
      </c>
      <c r="C5" s="33" t="s">
        <v>350</v>
      </c>
      <c r="D5">
        <f t="shared" si="0"/>
        <v>6</v>
      </c>
      <c r="E5">
        <v>17410936</v>
      </c>
    </row>
    <row r="6" spans="1:5" x14ac:dyDescent="0.25">
      <c r="A6" t="s">
        <v>289</v>
      </c>
      <c r="B6" s="33" t="s">
        <v>205</v>
      </c>
      <c r="C6" s="33" t="s">
        <v>288</v>
      </c>
      <c r="D6">
        <f t="shared" si="0"/>
        <v>6</v>
      </c>
      <c r="E6">
        <v>23272832</v>
      </c>
    </row>
    <row r="7" spans="1:5" x14ac:dyDescent="0.25">
      <c r="A7" t="s">
        <v>429</v>
      </c>
      <c r="B7" s="33" t="s">
        <v>205</v>
      </c>
      <c r="C7" s="33" t="s">
        <v>428</v>
      </c>
      <c r="D7">
        <f t="shared" si="0"/>
        <v>6</v>
      </c>
      <c r="E7">
        <v>26749633</v>
      </c>
    </row>
    <row r="8" spans="1:5" x14ac:dyDescent="0.25">
      <c r="A8" t="s">
        <v>307</v>
      </c>
      <c r="B8" s="33" t="s">
        <v>205</v>
      </c>
      <c r="C8" s="33" t="s">
        <v>306</v>
      </c>
      <c r="D8">
        <f t="shared" si="0"/>
        <v>6</v>
      </c>
      <c r="E8">
        <v>11814677</v>
      </c>
    </row>
    <row r="9" spans="1:5" x14ac:dyDescent="0.25">
      <c r="A9" t="s">
        <v>313</v>
      </c>
      <c r="B9" s="33" t="s">
        <v>205</v>
      </c>
      <c r="C9" s="33" t="s">
        <v>312</v>
      </c>
      <c r="D9">
        <f t="shared" si="0"/>
        <v>6</v>
      </c>
      <c r="E9">
        <v>22904417</v>
      </c>
    </row>
    <row r="10" spans="1:5" x14ac:dyDescent="0.25">
      <c r="A10" t="s">
        <v>299</v>
      </c>
      <c r="B10" s="33" t="s">
        <v>205</v>
      </c>
      <c r="C10" s="33" t="s">
        <v>298</v>
      </c>
      <c r="D10">
        <f t="shared" si="0"/>
        <v>6</v>
      </c>
      <c r="E10">
        <v>28414523</v>
      </c>
    </row>
    <row r="11" spans="1:5" x14ac:dyDescent="0.25">
      <c r="A11" t="s">
        <v>415</v>
      </c>
      <c r="B11" s="33" t="s">
        <v>205</v>
      </c>
      <c r="C11" s="33" t="s">
        <v>414</v>
      </c>
      <c r="D11">
        <f t="shared" si="0"/>
        <v>6</v>
      </c>
      <c r="E11">
        <v>27737258</v>
      </c>
    </row>
    <row r="12" spans="1:5" x14ac:dyDescent="0.25">
      <c r="A12" t="s">
        <v>451</v>
      </c>
      <c r="B12" s="33" t="s">
        <v>205</v>
      </c>
      <c r="C12" s="33" t="s">
        <v>450</v>
      </c>
      <c r="D12">
        <f t="shared" si="0"/>
        <v>6</v>
      </c>
      <c r="E12">
        <v>25055683</v>
      </c>
    </row>
    <row r="13" spans="1:5" x14ac:dyDescent="0.25">
      <c r="A13" t="s">
        <v>303</v>
      </c>
      <c r="B13" s="33" t="s">
        <v>205</v>
      </c>
      <c r="C13" s="33" t="s">
        <v>302</v>
      </c>
      <c r="D13">
        <f t="shared" si="0"/>
        <v>6</v>
      </c>
      <c r="E13">
        <v>13381446</v>
      </c>
    </row>
    <row r="14" spans="1:5" x14ac:dyDescent="0.25">
      <c r="A14" t="s">
        <v>365</v>
      </c>
      <c r="B14" s="33" t="s">
        <v>205</v>
      </c>
      <c r="C14" s="33" t="s">
        <v>364</v>
      </c>
      <c r="D14">
        <f t="shared" si="0"/>
        <v>6</v>
      </c>
      <c r="E14">
        <v>28749324</v>
      </c>
    </row>
    <row r="15" spans="1:5" x14ac:dyDescent="0.25">
      <c r="A15" t="s">
        <v>1609</v>
      </c>
      <c r="B15" t="s">
        <v>205</v>
      </c>
      <c r="C15" s="33" t="s">
        <v>1610</v>
      </c>
      <c r="D15">
        <f t="shared" si="0"/>
        <v>6</v>
      </c>
      <c r="E15">
        <v>23661273</v>
      </c>
    </row>
    <row r="16" spans="1:5" x14ac:dyDescent="0.25">
      <c r="A16" t="s">
        <v>317</v>
      </c>
      <c r="B16" s="33" t="s">
        <v>205</v>
      </c>
      <c r="C16" s="33" t="s">
        <v>316</v>
      </c>
      <c r="D16">
        <f t="shared" si="0"/>
        <v>6</v>
      </c>
      <c r="E16">
        <v>27573499</v>
      </c>
    </row>
    <row r="17" spans="1:5" x14ac:dyDescent="0.25">
      <c r="A17" t="s">
        <v>425</v>
      </c>
      <c r="B17" s="33" t="s">
        <v>205</v>
      </c>
      <c r="C17" s="33" t="s">
        <v>424</v>
      </c>
      <c r="D17">
        <f t="shared" si="0"/>
        <v>6</v>
      </c>
      <c r="E17">
        <v>22439242</v>
      </c>
    </row>
    <row r="18" spans="1:5" x14ac:dyDescent="0.25">
      <c r="A18" t="s">
        <v>1603</v>
      </c>
      <c r="B18" t="s">
        <v>205</v>
      </c>
      <c r="C18" s="33" t="s">
        <v>1604</v>
      </c>
      <c r="D18">
        <f t="shared" si="0"/>
        <v>6</v>
      </c>
      <c r="E18">
        <v>30490263</v>
      </c>
    </row>
    <row r="19" spans="1:5" x14ac:dyDescent="0.25">
      <c r="A19" t="s">
        <v>215</v>
      </c>
      <c r="B19" s="33" t="s">
        <v>205</v>
      </c>
      <c r="C19" s="33" t="s">
        <v>214</v>
      </c>
      <c r="D19">
        <f t="shared" si="0"/>
        <v>6</v>
      </c>
      <c r="E19">
        <v>31499270</v>
      </c>
    </row>
    <row r="20" spans="1:5" x14ac:dyDescent="0.25">
      <c r="A20" t="s">
        <v>301</v>
      </c>
      <c r="B20" s="33" t="s">
        <v>205</v>
      </c>
      <c r="C20" s="33" t="s">
        <v>300</v>
      </c>
      <c r="D20">
        <f t="shared" si="0"/>
        <v>6</v>
      </c>
      <c r="E20">
        <v>20299982</v>
      </c>
    </row>
    <row r="21" spans="1:5" x14ac:dyDescent="0.25">
      <c r="A21" t="s">
        <v>293</v>
      </c>
      <c r="B21" s="33" t="s">
        <v>205</v>
      </c>
      <c r="C21" s="33" t="s">
        <v>292</v>
      </c>
      <c r="D21">
        <f t="shared" si="0"/>
        <v>6</v>
      </c>
      <c r="E21">
        <v>24011761</v>
      </c>
    </row>
    <row r="22" spans="1:5" x14ac:dyDescent="0.25">
      <c r="A22" t="s">
        <v>331</v>
      </c>
      <c r="B22" s="33" t="s">
        <v>205</v>
      </c>
      <c r="C22" s="33" t="s">
        <v>330</v>
      </c>
      <c r="D22">
        <f t="shared" si="0"/>
        <v>6</v>
      </c>
      <c r="E22">
        <v>31264898</v>
      </c>
    </row>
    <row r="23" spans="1:5" x14ac:dyDescent="0.25">
      <c r="A23" t="s">
        <v>1536</v>
      </c>
      <c r="B23" s="33" t="s">
        <v>205</v>
      </c>
      <c r="C23" s="33" t="s">
        <v>1580</v>
      </c>
      <c r="D23">
        <f t="shared" si="0"/>
        <v>6</v>
      </c>
      <c r="E23">
        <v>30778106</v>
      </c>
    </row>
    <row r="24" spans="1:5" x14ac:dyDescent="0.25">
      <c r="A24" t="s">
        <v>319</v>
      </c>
      <c r="B24" s="33" t="s">
        <v>205</v>
      </c>
      <c r="C24" s="33" t="s">
        <v>318</v>
      </c>
      <c r="D24">
        <f t="shared" si="0"/>
        <v>6</v>
      </c>
      <c r="E24">
        <v>22761805</v>
      </c>
    </row>
    <row r="25" spans="1:5" x14ac:dyDescent="0.25">
      <c r="A25" t="s">
        <v>369</v>
      </c>
      <c r="B25" s="33" t="s">
        <v>205</v>
      </c>
      <c r="C25" s="33" t="s">
        <v>368</v>
      </c>
      <c r="D25">
        <f t="shared" si="0"/>
        <v>6</v>
      </c>
      <c r="E25">
        <v>31174895</v>
      </c>
    </row>
    <row r="26" spans="1:5" x14ac:dyDescent="0.25">
      <c r="A26" t="s">
        <v>213</v>
      </c>
      <c r="B26" s="33" t="s">
        <v>205</v>
      </c>
      <c r="C26" s="33" t="s">
        <v>212</v>
      </c>
      <c r="D26">
        <f t="shared" si="0"/>
        <v>6</v>
      </c>
      <c r="E26">
        <v>27282900</v>
      </c>
    </row>
    <row r="27" spans="1:5" x14ac:dyDescent="0.25">
      <c r="A27" t="s">
        <v>237</v>
      </c>
      <c r="B27" s="33" t="s">
        <v>205</v>
      </c>
      <c r="C27" s="33" t="s">
        <v>236</v>
      </c>
      <c r="D27">
        <f t="shared" si="0"/>
        <v>6</v>
      </c>
      <c r="E27">
        <v>20446029</v>
      </c>
    </row>
    <row r="28" spans="1:5" x14ac:dyDescent="0.25">
      <c r="A28" t="s">
        <v>335</v>
      </c>
      <c r="B28" s="33" t="s">
        <v>205</v>
      </c>
      <c r="C28" s="33" t="s">
        <v>334</v>
      </c>
      <c r="D28">
        <f t="shared" si="0"/>
        <v>6</v>
      </c>
      <c r="E28">
        <v>23838374</v>
      </c>
    </row>
    <row r="29" spans="1:5" x14ac:dyDescent="0.25">
      <c r="A29" t="s">
        <v>465</v>
      </c>
      <c r="B29" s="33" t="s">
        <v>461</v>
      </c>
      <c r="C29" s="33" t="s">
        <v>464</v>
      </c>
      <c r="D29">
        <f t="shared" si="0"/>
        <v>6</v>
      </c>
      <c r="E29">
        <v>26464386</v>
      </c>
    </row>
    <row r="30" spans="1:5" x14ac:dyDescent="0.25">
      <c r="A30" t="s">
        <v>377</v>
      </c>
      <c r="B30" s="33" t="s">
        <v>205</v>
      </c>
      <c r="C30" s="33" t="s">
        <v>376</v>
      </c>
      <c r="D30">
        <f t="shared" si="0"/>
        <v>6</v>
      </c>
      <c r="E30">
        <v>29575559</v>
      </c>
    </row>
    <row r="31" spans="1:5" x14ac:dyDescent="0.25">
      <c r="A31" t="s">
        <v>333</v>
      </c>
      <c r="B31" s="33" t="s">
        <v>205</v>
      </c>
      <c r="C31" s="33" t="s">
        <v>332</v>
      </c>
      <c r="D31">
        <f t="shared" si="0"/>
        <v>6</v>
      </c>
      <c r="E31">
        <v>32179545</v>
      </c>
    </row>
    <row r="32" spans="1:5" x14ac:dyDescent="0.25">
      <c r="A32" t="s">
        <v>209</v>
      </c>
      <c r="B32" s="33" t="s">
        <v>205</v>
      </c>
      <c r="C32" s="33" t="s">
        <v>208</v>
      </c>
      <c r="D32">
        <f t="shared" si="0"/>
        <v>6</v>
      </c>
      <c r="E32">
        <v>92356744</v>
      </c>
    </row>
    <row r="33" spans="1:5" x14ac:dyDescent="0.25">
      <c r="A33" t="s">
        <v>359</v>
      </c>
      <c r="B33" s="33" t="s">
        <v>205</v>
      </c>
      <c r="C33" s="33" t="s">
        <v>358</v>
      </c>
      <c r="D33">
        <f t="shared" si="0"/>
        <v>6</v>
      </c>
      <c r="E33">
        <v>31369804</v>
      </c>
    </row>
    <row r="34" spans="1:5" x14ac:dyDescent="0.25">
      <c r="A34" t="s">
        <v>389</v>
      </c>
      <c r="B34" s="33" t="s">
        <v>205</v>
      </c>
      <c r="C34" s="33" t="s">
        <v>388</v>
      </c>
      <c r="D34">
        <f t="shared" ref="D34:D65" si="1">LEN(C34)</f>
        <v>6</v>
      </c>
      <c r="E34">
        <v>25389628</v>
      </c>
    </row>
    <row r="35" spans="1:5" x14ac:dyDescent="0.25">
      <c r="A35" t="s">
        <v>1605</v>
      </c>
      <c r="B35" t="s">
        <v>205</v>
      </c>
      <c r="C35" s="33" t="s">
        <v>1606</v>
      </c>
      <c r="D35">
        <f t="shared" si="1"/>
        <v>6</v>
      </c>
      <c r="E35">
        <v>27142346</v>
      </c>
    </row>
    <row r="36" spans="1:5" x14ac:dyDescent="0.25">
      <c r="A36" t="s">
        <v>277</v>
      </c>
      <c r="B36" s="33" t="s">
        <v>205</v>
      </c>
      <c r="C36" s="33" t="s">
        <v>276</v>
      </c>
      <c r="D36">
        <f t="shared" si="1"/>
        <v>6</v>
      </c>
      <c r="E36">
        <v>23893416</v>
      </c>
    </row>
    <row r="37" spans="1:5" x14ac:dyDescent="0.25">
      <c r="A37" t="s">
        <v>233</v>
      </c>
      <c r="B37" s="33" t="s">
        <v>205</v>
      </c>
      <c r="C37" s="33" t="s">
        <v>232</v>
      </c>
      <c r="D37">
        <f t="shared" si="1"/>
        <v>6</v>
      </c>
      <c r="E37">
        <v>25887569</v>
      </c>
    </row>
    <row r="38" spans="1:5" x14ac:dyDescent="0.25">
      <c r="A38" t="s">
        <v>1521</v>
      </c>
      <c r="B38" t="s">
        <v>205</v>
      </c>
      <c r="C38" s="33" t="s">
        <v>1530</v>
      </c>
      <c r="D38">
        <f t="shared" si="1"/>
        <v>6</v>
      </c>
      <c r="E38">
        <v>37142326</v>
      </c>
    </row>
    <row r="39" spans="1:5" x14ac:dyDescent="0.25">
      <c r="A39" t="s">
        <v>395</v>
      </c>
      <c r="B39" s="33" t="s">
        <v>205</v>
      </c>
      <c r="C39" s="33" t="s">
        <v>394</v>
      </c>
      <c r="D39">
        <f t="shared" si="1"/>
        <v>6</v>
      </c>
      <c r="E39">
        <v>25358612</v>
      </c>
    </row>
    <row r="40" spans="1:5" x14ac:dyDescent="0.25">
      <c r="A40" t="s">
        <v>453</v>
      </c>
      <c r="B40" s="33" t="s">
        <v>205</v>
      </c>
      <c r="C40" s="33" t="s">
        <v>452</v>
      </c>
      <c r="D40">
        <f t="shared" si="1"/>
        <v>6</v>
      </c>
      <c r="E40">
        <v>30491332</v>
      </c>
    </row>
    <row r="41" spans="1:5" x14ac:dyDescent="0.25">
      <c r="A41" t="s">
        <v>281</v>
      </c>
      <c r="B41" s="33" t="s">
        <v>205</v>
      </c>
      <c r="C41" s="33" t="s">
        <v>280</v>
      </c>
      <c r="D41">
        <f t="shared" si="1"/>
        <v>6</v>
      </c>
      <c r="E41">
        <v>14129621</v>
      </c>
    </row>
    <row r="42" spans="1:5" x14ac:dyDescent="0.25">
      <c r="A42" t="s">
        <v>323</v>
      </c>
      <c r="B42" s="33" t="s">
        <v>205</v>
      </c>
      <c r="C42" s="33" t="s">
        <v>322</v>
      </c>
      <c r="D42">
        <f t="shared" si="1"/>
        <v>6</v>
      </c>
      <c r="E42">
        <v>29734851</v>
      </c>
    </row>
    <row r="43" spans="1:5" x14ac:dyDescent="0.25">
      <c r="A43" t="s">
        <v>449</v>
      </c>
      <c r="B43" s="33" t="s">
        <v>205</v>
      </c>
      <c r="C43" s="33" t="s">
        <v>448</v>
      </c>
      <c r="D43">
        <f t="shared" si="1"/>
        <v>6</v>
      </c>
      <c r="E43">
        <v>26363183</v>
      </c>
    </row>
    <row r="44" spans="1:5" x14ac:dyDescent="0.25">
      <c r="A44" t="s">
        <v>456</v>
      </c>
      <c r="B44" s="33" t="s">
        <v>454</v>
      </c>
      <c r="C44" s="33" t="s">
        <v>455</v>
      </c>
      <c r="D44">
        <f t="shared" si="1"/>
        <v>6</v>
      </c>
      <c r="E44">
        <v>27081102</v>
      </c>
    </row>
    <row r="45" spans="1:5" x14ac:dyDescent="0.25">
      <c r="A45" t="s">
        <v>1552</v>
      </c>
      <c r="B45" s="33" t="s">
        <v>205</v>
      </c>
      <c r="C45" s="33" t="s">
        <v>1581</v>
      </c>
      <c r="D45">
        <f t="shared" si="1"/>
        <v>6</v>
      </c>
      <c r="E45">
        <v>25805769</v>
      </c>
    </row>
    <row r="46" spans="1:5" x14ac:dyDescent="0.25">
      <c r="A46" t="s">
        <v>1584</v>
      </c>
      <c r="B46" t="s">
        <v>205</v>
      </c>
      <c r="C46" s="33" t="s">
        <v>1588</v>
      </c>
      <c r="D46">
        <f t="shared" si="1"/>
        <v>6</v>
      </c>
      <c r="E46">
        <v>36268484</v>
      </c>
    </row>
    <row r="47" spans="1:5" x14ac:dyDescent="0.25">
      <c r="A47" t="s">
        <v>309</v>
      </c>
      <c r="B47" s="33" t="s">
        <v>205</v>
      </c>
      <c r="C47" s="33" t="s">
        <v>308</v>
      </c>
      <c r="D47">
        <f t="shared" si="1"/>
        <v>6</v>
      </c>
      <c r="E47">
        <v>29364967</v>
      </c>
    </row>
    <row r="48" spans="1:5" x14ac:dyDescent="0.25">
      <c r="A48" t="s">
        <v>275</v>
      </c>
      <c r="B48" s="33" t="s">
        <v>205</v>
      </c>
      <c r="C48" s="33" t="s">
        <v>274</v>
      </c>
      <c r="D48">
        <f t="shared" si="1"/>
        <v>6</v>
      </c>
      <c r="E48">
        <v>31241290</v>
      </c>
    </row>
    <row r="49" spans="1:5" x14ac:dyDescent="0.25">
      <c r="A49" t="s">
        <v>401</v>
      </c>
      <c r="B49" s="33" t="s">
        <v>205</v>
      </c>
      <c r="C49" s="33" t="s">
        <v>400</v>
      </c>
      <c r="D49">
        <f t="shared" si="1"/>
        <v>6</v>
      </c>
      <c r="E49">
        <v>38440365</v>
      </c>
    </row>
    <row r="50" spans="1:5" x14ac:dyDescent="0.25">
      <c r="A50" t="s">
        <v>447</v>
      </c>
      <c r="B50" s="33" t="s">
        <v>205</v>
      </c>
      <c r="C50" s="33" t="s">
        <v>446</v>
      </c>
      <c r="D50">
        <f t="shared" si="1"/>
        <v>6</v>
      </c>
      <c r="E50">
        <v>25804421</v>
      </c>
    </row>
    <row r="51" spans="1:5" x14ac:dyDescent="0.25">
      <c r="A51" t="s">
        <v>1522</v>
      </c>
      <c r="B51" t="s">
        <v>205</v>
      </c>
      <c r="C51" s="33" t="s">
        <v>1531</v>
      </c>
      <c r="D51">
        <f t="shared" si="1"/>
        <v>6</v>
      </c>
      <c r="E51">
        <v>25232099</v>
      </c>
    </row>
    <row r="52" spans="1:5" x14ac:dyDescent="0.25">
      <c r="A52" t="s">
        <v>435</v>
      </c>
      <c r="B52" s="33" t="s">
        <v>205</v>
      </c>
      <c r="C52" s="33" t="s">
        <v>434</v>
      </c>
      <c r="D52">
        <f t="shared" si="1"/>
        <v>6</v>
      </c>
      <c r="E52">
        <v>37263405</v>
      </c>
    </row>
    <row r="53" spans="1:5" x14ac:dyDescent="0.25">
      <c r="A53" t="s">
        <v>263</v>
      </c>
      <c r="B53" s="33" t="s">
        <v>205</v>
      </c>
      <c r="C53" s="33" t="s">
        <v>262</v>
      </c>
      <c r="D53">
        <f t="shared" si="1"/>
        <v>6</v>
      </c>
      <c r="E53">
        <v>25050667</v>
      </c>
    </row>
    <row r="54" spans="1:5" x14ac:dyDescent="0.25">
      <c r="A54" t="s">
        <v>221</v>
      </c>
      <c r="B54" s="33" t="s">
        <v>205</v>
      </c>
      <c r="C54" s="33" t="s">
        <v>220</v>
      </c>
      <c r="D54">
        <f t="shared" si="1"/>
        <v>6</v>
      </c>
      <c r="E54">
        <v>23873824</v>
      </c>
    </row>
    <row r="55" spans="1:5" x14ac:dyDescent="0.25">
      <c r="A55" t="s">
        <v>259</v>
      </c>
      <c r="B55" s="33" t="s">
        <v>205</v>
      </c>
      <c r="C55" s="33" t="s">
        <v>258</v>
      </c>
      <c r="D55">
        <f t="shared" si="1"/>
        <v>6</v>
      </c>
      <c r="E55">
        <v>25529278</v>
      </c>
    </row>
    <row r="56" spans="1:5" x14ac:dyDescent="0.25">
      <c r="A56" t="s">
        <v>329</v>
      </c>
      <c r="B56" s="33" t="s">
        <v>205</v>
      </c>
      <c r="C56" s="33" t="s">
        <v>328</v>
      </c>
      <c r="D56">
        <f t="shared" si="1"/>
        <v>6</v>
      </c>
      <c r="E56">
        <v>21644873</v>
      </c>
    </row>
    <row r="57" spans="1:5" x14ac:dyDescent="0.25">
      <c r="A57" t="s">
        <v>417</v>
      </c>
      <c r="B57" s="33" t="s">
        <v>205</v>
      </c>
      <c r="C57" s="33" t="s">
        <v>416</v>
      </c>
      <c r="D57">
        <f t="shared" si="1"/>
        <v>6</v>
      </c>
      <c r="E57">
        <v>27628606</v>
      </c>
    </row>
    <row r="58" spans="1:5" x14ac:dyDescent="0.25">
      <c r="A58" t="s">
        <v>345</v>
      </c>
      <c r="B58" s="33" t="s">
        <v>205</v>
      </c>
      <c r="C58" s="33" t="s">
        <v>344</v>
      </c>
      <c r="D58">
        <f t="shared" si="1"/>
        <v>6</v>
      </c>
      <c r="E58">
        <v>34584425</v>
      </c>
    </row>
    <row r="59" spans="1:5" x14ac:dyDescent="0.25">
      <c r="A59" t="s">
        <v>239</v>
      </c>
      <c r="B59" s="33" t="s">
        <v>205</v>
      </c>
      <c r="C59" s="33" t="s">
        <v>238</v>
      </c>
      <c r="D59">
        <f t="shared" si="1"/>
        <v>6</v>
      </c>
      <c r="E59">
        <v>21652793</v>
      </c>
    </row>
    <row r="60" spans="1:5" x14ac:dyDescent="0.25">
      <c r="A60" t="s">
        <v>295</v>
      </c>
      <c r="B60" s="33" t="s">
        <v>205</v>
      </c>
      <c r="C60" s="33" t="s">
        <v>294</v>
      </c>
      <c r="D60">
        <f t="shared" si="1"/>
        <v>6</v>
      </c>
      <c r="E60">
        <v>25734366</v>
      </c>
    </row>
    <row r="61" spans="1:5" x14ac:dyDescent="0.25">
      <c r="A61" t="s">
        <v>343</v>
      </c>
      <c r="B61" s="33" t="s">
        <v>205</v>
      </c>
      <c r="C61" s="33" t="s">
        <v>342</v>
      </c>
      <c r="D61">
        <f t="shared" si="1"/>
        <v>6</v>
      </c>
      <c r="E61">
        <v>92163317</v>
      </c>
    </row>
    <row r="62" spans="1:5" x14ac:dyDescent="0.25">
      <c r="A62" t="s">
        <v>363</v>
      </c>
      <c r="B62" s="33" t="s">
        <v>205</v>
      </c>
      <c r="C62" s="33" t="s">
        <v>362</v>
      </c>
      <c r="D62">
        <f t="shared" si="1"/>
        <v>6</v>
      </c>
      <c r="E62">
        <v>18131175</v>
      </c>
    </row>
    <row r="63" spans="1:5" x14ac:dyDescent="0.25">
      <c r="A63" t="s">
        <v>243</v>
      </c>
      <c r="B63" s="33" t="s">
        <v>205</v>
      </c>
      <c r="C63" s="33" t="s">
        <v>242</v>
      </c>
      <c r="D63">
        <f t="shared" si="1"/>
        <v>6</v>
      </c>
      <c r="E63">
        <v>17789630</v>
      </c>
    </row>
    <row r="64" spans="1:5" x14ac:dyDescent="0.25">
      <c r="A64" t="s">
        <v>245</v>
      </c>
      <c r="B64" s="33" t="s">
        <v>205</v>
      </c>
      <c r="C64" s="33" t="s">
        <v>244</v>
      </c>
      <c r="D64">
        <f t="shared" si="1"/>
        <v>6</v>
      </c>
      <c r="E64">
        <v>29196229</v>
      </c>
    </row>
    <row r="65" spans="1:5" x14ac:dyDescent="0.25">
      <c r="A65" t="s">
        <v>1574</v>
      </c>
      <c r="B65" t="s">
        <v>205</v>
      </c>
      <c r="C65" s="33" t="s">
        <v>1575</v>
      </c>
      <c r="D65">
        <f t="shared" si="1"/>
        <v>6</v>
      </c>
      <c r="E65">
        <v>26227812</v>
      </c>
    </row>
    <row r="66" spans="1:5" x14ac:dyDescent="0.25">
      <c r="A66" t="s">
        <v>1558</v>
      </c>
      <c r="B66" t="s">
        <v>205</v>
      </c>
      <c r="C66" s="33" t="s">
        <v>1559</v>
      </c>
      <c r="D66">
        <f t="shared" ref="D66:D97" si="2">LEN(C66)</f>
        <v>6</v>
      </c>
      <c r="E66">
        <v>24477747</v>
      </c>
    </row>
    <row r="67" spans="1:5" x14ac:dyDescent="0.25">
      <c r="A67" t="s">
        <v>267</v>
      </c>
      <c r="B67" s="33" t="s">
        <v>205</v>
      </c>
      <c r="C67" s="33" t="s">
        <v>266</v>
      </c>
      <c r="D67">
        <f t="shared" si="2"/>
        <v>6</v>
      </c>
      <c r="E67">
        <v>34021625</v>
      </c>
    </row>
    <row r="68" spans="1:5" x14ac:dyDescent="0.25">
      <c r="A68" t="s">
        <v>1523</v>
      </c>
      <c r="B68" t="s">
        <v>205</v>
      </c>
      <c r="C68" s="33" t="s">
        <v>1532</v>
      </c>
      <c r="D68">
        <f t="shared" si="2"/>
        <v>6</v>
      </c>
      <c r="E68">
        <v>34256117</v>
      </c>
    </row>
    <row r="69" spans="1:5" x14ac:dyDescent="0.25">
      <c r="A69" t="s">
        <v>279</v>
      </c>
      <c r="B69" s="33" t="s">
        <v>205</v>
      </c>
      <c r="C69" s="33" t="s">
        <v>278</v>
      </c>
      <c r="D69">
        <f t="shared" si="2"/>
        <v>6</v>
      </c>
      <c r="E69">
        <v>29022978</v>
      </c>
    </row>
    <row r="70" spans="1:5" x14ac:dyDescent="0.25">
      <c r="A70" t="s">
        <v>379</v>
      </c>
      <c r="B70" s="33" t="s">
        <v>205</v>
      </c>
      <c r="C70" s="33" t="s">
        <v>378</v>
      </c>
      <c r="D70">
        <f t="shared" si="2"/>
        <v>6</v>
      </c>
      <c r="E70">
        <v>18073736</v>
      </c>
    </row>
    <row r="71" spans="1:5" x14ac:dyDescent="0.25">
      <c r="A71" t="s">
        <v>1566</v>
      </c>
      <c r="B71" t="s">
        <v>205</v>
      </c>
      <c r="C71" s="33" t="s">
        <v>1567</v>
      </c>
      <c r="D71">
        <f t="shared" si="2"/>
        <v>6</v>
      </c>
      <c r="E71">
        <v>24708749</v>
      </c>
    </row>
    <row r="72" spans="1:5" x14ac:dyDescent="0.25">
      <c r="A72" t="s">
        <v>273</v>
      </c>
      <c r="B72" s="33" t="s">
        <v>205</v>
      </c>
      <c r="C72" s="33" t="s">
        <v>272</v>
      </c>
      <c r="D72">
        <f t="shared" si="2"/>
        <v>6</v>
      </c>
      <c r="E72">
        <v>25129065</v>
      </c>
    </row>
    <row r="73" spans="1:5" x14ac:dyDescent="0.25">
      <c r="A73" t="s">
        <v>1518</v>
      </c>
      <c r="B73" t="s">
        <v>205</v>
      </c>
      <c r="C73" s="33" t="s">
        <v>1527</v>
      </c>
      <c r="D73">
        <f t="shared" si="2"/>
        <v>6</v>
      </c>
      <c r="E73">
        <v>33519040</v>
      </c>
    </row>
    <row r="74" spans="1:5" x14ac:dyDescent="0.25">
      <c r="A74" t="s">
        <v>393</v>
      </c>
      <c r="B74" s="33" t="s">
        <v>205</v>
      </c>
      <c r="C74" s="33" t="s">
        <v>392</v>
      </c>
      <c r="D74">
        <f t="shared" si="2"/>
        <v>6</v>
      </c>
      <c r="E74">
        <v>20265809</v>
      </c>
    </row>
    <row r="75" spans="1:5" x14ac:dyDescent="0.25">
      <c r="A75" t="s">
        <v>1548</v>
      </c>
      <c r="B75" t="s">
        <v>205</v>
      </c>
      <c r="C75" s="33" t="s">
        <v>1582</v>
      </c>
      <c r="D75">
        <f t="shared" si="2"/>
        <v>6</v>
      </c>
      <c r="E75">
        <v>26034420</v>
      </c>
    </row>
    <row r="76" spans="1:5" x14ac:dyDescent="0.25">
      <c r="A76" t="s">
        <v>287</v>
      </c>
      <c r="B76" s="33" t="s">
        <v>205</v>
      </c>
      <c r="C76" s="33" t="s">
        <v>286</v>
      </c>
      <c r="D76">
        <f t="shared" si="2"/>
        <v>6</v>
      </c>
      <c r="E76">
        <v>31464716</v>
      </c>
    </row>
    <row r="77" spans="1:5" x14ac:dyDescent="0.25">
      <c r="A77" t="s">
        <v>373</v>
      </c>
      <c r="B77" s="33" t="s">
        <v>205</v>
      </c>
      <c r="C77" s="33" t="s">
        <v>372</v>
      </c>
      <c r="D77">
        <f t="shared" si="2"/>
        <v>6</v>
      </c>
      <c r="E77">
        <v>24910776</v>
      </c>
    </row>
    <row r="78" spans="1:5" x14ac:dyDescent="0.25">
      <c r="A78" t="s">
        <v>223</v>
      </c>
      <c r="B78" s="33" t="s">
        <v>205</v>
      </c>
      <c r="C78" s="33" t="s">
        <v>222</v>
      </c>
      <c r="D78">
        <f t="shared" si="2"/>
        <v>6</v>
      </c>
      <c r="E78">
        <v>21099072</v>
      </c>
    </row>
    <row r="79" spans="1:5" x14ac:dyDescent="0.25">
      <c r="A79" t="s">
        <v>405</v>
      </c>
      <c r="B79" s="33" t="s">
        <v>205</v>
      </c>
      <c r="C79" s="33" t="s">
        <v>404</v>
      </c>
      <c r="D79">
        <f t="shared" si="2"/>
        <v>6</v>
      </c>
      <c r="E79">
        <v>35027588</v>
      </c>
    </row>
    <row r="80" spans="1:5" x14ac:dyDescent="0.25">
      <c r="A80" t="s">
        <v>253</v>
      </c>
      <c r="B80" s="33" t="s">
        <v>205</v>
      </c>
      <c r="C80" s="33" t="s">
        <v>252</v>
      </c>
      <c r="D80">
        <f t="shared" si="2"/>
        <v>6</v>
      </c>
      <c r="E80">
        <v>23216457</v>
      </c>
    </row>
    <row r="81" spans="1:5" x14ac:dyDescent="0.25">
      <c r="A81" t="s">
        <v>1593</v>
      </c>
      <c r="B81" t="s">
        <v>461</v>
      </c>
      <c r="C81" s="33" t="s">
        <v>1594</v>
      </c>
      <c r="D81">
        <f t="shared" si="2"/>
        <v>6</v>
      </c>
      <c r="E81">
        <v>24716983</v>
      </c>
    </row>
    <row r="82" spans="1:5" x14ac:dyDescent="0.25">
      <c r="A82" t="s">
        <v>387</v>
      </c>
      <c r="B82" s="33" t="s">
        <v>205</v>
      </c>
      <c r="C82" s="33" t="s">
        <v>386</v>
      </c>
      <c r="D82">
        <f t="shared" si="2"/>
        <v>6</v>
      </c>
      <c r="E82">
        <v>28769834</v>
      </c>
    </row>
    <row r="83" spans="1:5" x14ac:dyDescent="0.25">
      <c r="A83" t="s">
        <v>285</v>
      </c>
      <c r="B83" s="33" t="s">
        <v>205</v>
      </c>
      <c r="C83" s="33" t="s">
        <v>284</v>
      </c>
      <c r="D83">
        <f t="shared" si="2"/>
        <v>6</v>
      </c>
      <c r="E83">
        <v>17020329</v>
      </c>
    </row>
    <row r="84" spans="1:5" x14ac:dyDescent="0.25">
      <c r="A84" t="s">
        <v>399</v>
      </c>
      <c r="B84" s="33" t="s">
        <v>205</v>
      </c>
      <c r="C84" s="33" t="s">
        <v>398</v>
      </c>
      <c r="D84">
        <f t="shared" si="2"/>
        <v>6</v>
      </c>
      <c r="E84">
        <v>33028527</v>
      </c>
    </row>
    <row r="85" spans="1:5" x14ac:dyDescent="0.25">
      <c r="A85" t="s">
        <v>347</v>
      </c>
      <c r="B85" s="33" t="s">
        <v>205</v>
      </c>
      <c r="C85" s="33" t="s">
        <v>346</v>
      </c>
      <c r="D85">
        <f t="shared" si="2"/>
        <v>6</v>
      </c>
      <c r="E85">
        <v>35632470</v>
      </c>
    </row>
    <row r="86" spans="1:5" x14ac:dyDescent="0.25">
      <c r="A86" t="s">
        <v>315</v>
      </c>
      <c r="B86" s="33" t="s">
        <v>205</v>
      </c>
      <c r="C86" s="33" t="s">
        <v>314</v>
      </c>
      <c r="D86">
        <f t="shared" si="2"/>
        <v>6</v>
      </c>
      <c r="E86">
        <v>26329300</v>
      </c>
    </row>
    <row r="87" spans="1:5" x14ac:dyDescent="0.25">
      <c r="A87" t="s">
        <v>1519</v>
      </c>
      <c r="B87" t="s">
        <v>205</v>
      </c>
      <c r="C87" s="33" t="s">
        <v>1528</v>
      </c>
      <c r="D87">
        <f t="shared" si="2"/>
        <v>6</v>
      </c>
      <c r="E87">
        <v>32766431</v>
      </c>
    </row>
    <row r="88" spans="1:5" x14ac:dyDescent="0.25">
      <c r="A88" t="s">
        <v>385</v>
      </c>
      <c r="B88" s="33" t="s">
        <v>205</v>
      </c>
      <c r="C88" s="33" t="s">
        <v>384</v>
      </c>
      <c r="D88">
        <f t="shared" si="2"/>
        <v>6</v>
      </c>
      <c r="E88">
        <v>30602391</v>
      </c>
    </row>
    <row r="89" spans="1:5" x14ac:dyDescent="0.25">
      <c r="A89" t="s">
        <v>337</v>
      </c>
      <c r="B89" s="33" t="s">
        <v>205</v>
      </c>
      <c r="C89" s="33" t="s">
        <v>336</v>
      </c>
      <c r="D89">
        <f t="shared" si="2"/>
        <v>6</v>
      </c>
      <c r="E89">
        <v>25998782</v>
      </c>
    </row>
    <row r="90" spans="1:5" x14ac:dyDescent="0.25">
      <c r="A90" t="s">
        <v>227</v>
      </c>
      <c r="B90" s="33" t="s">
        <v>205</v>
      </c>
      <c r="C90" s="33" t="s">
        <v>226</v>
      </c>
      <c r="D90">
        <f t="shared" si="2"/>
        <v>6</v>
      </c>
      <c r="E90">
        <v>32949846</v>
      </c>
    </row>
    <row r="91" spans="1:5" x14ac:dyDescent="0.25">
      <c r="A91" t="s">
        <v>437</v>
      </c>
      <c r="B91" s="33" t="s">
        <v>205</v>
      </c>
      <c r="C91" s="33" t="s">
        <v>436</v>
      </c>
      <c r="D91">
        <f t="shared" si="2"/>
        <v>6</v>
      </c>
      <c r="E91">
        <v>22780455</v>
      </c>
    </row>
    <row r="92" spans="1:5" x14ac:dyDescent="0.25">
      <c r="A92" t="s">
        <v>207</v>
      </c>
      <c r="B92" s="33" t="s">
        <v>205</v>
      </c>
      <c r="C92" s="33" t="s">
        <v>206</v>
      </c>
      <c r="D92">
        <f t="shared" si="2"/>
        <v>6</v>
      </c>
      <c r="E92">
        <v>18213262</v>
      </c>
    </row>
    <row r="93" spans="1:5" x14ac:dyDescent="0.25">
      <c r="A93" t="s">
        <v>211</v>
      </c>
      <c r="B93" s="33" t="s">
        <v>205</v>
      </c>
      <c r="C93" s="33" t="s">
        <v>210</v>
      </c>
      <c r="D93">
        <f t="shared" si="2"/>
        <v>6</v>
      </c>
      <c r="E93">
        <v>24698699</v>
      </c>
    </row>
    <row r="94" spans="1:5" x14ac:dyDescent="0.25">
      <c r="A94" t="s">
        <v>391</v>
      </c>
      <c r="B94" s="33" t="s">
        <v>205</v>
      </c>
      <c r="C94" s="33" t="s">
        <v>390</v>
      </c>
      <c r="D94">
        <f t="shared" si="2"/>
        <v>6</v>
      </c>
      <c r="E94">
        <v>32533537</v>
      </c>
    </row>
    <row r="95" spans="1:5" x14ac:dyDescent="0.25">
      <c r="A95" t="s">
        <v>419</v>
      </c>
      <c r="B95" s="33" t="s">
        <v>205</v>
      </c>
      <c r="C95" s="33" t="s">
        <v>418</v>
      </c>
      <c r="D95">
        <f t="shared" si="2"/>
        <v>6</v>
      </c>
      <c r="E95">
        <v>25940962</v>
      </c>
    </row>
    <row r="96" spans="1:5" x14ac:dyDescent="0.25">
      <c r="A96" t="s">
        <v>427</v>
      </c>
      <c r="B96" s="33" t="s">
        <v>205</v>
      </c>
      <c r="C96" s="33" t="s">
        <v>426</v>
      </c>
      <c r="D96">
        <f t="shared" si="2"/>
        <v>6</v>
      </c>
      <c r="E96">
        <v>26670589</v>
      </c>
    </row>
    <row r="97" spans="1:5" x14ac:dyDescent="0.25">
      <c r="A97" t="s">
        <v>407</v>
      </c>
      <c r="B97" s="33" t="s">
        <v>205</v>
      </c>
      <c r="C97" s="33" t="s">
        <v>406</v>
      </c>
      <c r="D97">
        <f t="shared" si="2"/>
        <v>6</v>
      </c>
      <c r="E97">
        <v>30976729</v>
      </c>
    </row>
    <row r="98" spans="1:5" x14ac:dyDescent="0.25">
      <c r="A98" t="s">
        <v>339</v>
      </c>
      <c r="B98" s="33" t="s">
        <v>205</v>
      </c>
      <c r="C98" s="33" t="s">
        <v>338</v>
      </c>
      <c r="D98">
        <f t="shared" ref="D98:D129" si="3">LEN(C98)</f>
        <v>6</v>
      </c>
      <c r="E98">
        <v>30306496</v>
      </c>
    </row>
    <row r="99" spans="1:5" x14ac:dyDescent="0.25">
      <c r="A99" t="s">
        <v>1515</v>
      </c>
      <c r="B99" t="s">
        <v>205</v>
      </c>
      <c r="C99" s="33" t="s">
        <v>1524</v>
      </c>
      <c r="D99">
        <f t="shared" si="3"/>
        <v>6</v>
      </c>
      <c r="E99">
        <v>20628320</v>
      </c>
    </row>
    <row r="100" spans="1:5" x14ac:dyDescent="0.25">
      <c r="A100" t="s">
        <v>251</v>
      </c>
      <c r="B100" s="33" t="s">
        <v>205</v>
      </c>
      <c r="C100" s="33" t="s">
        <v>250</v>
      </c>
      <c r="D100">
        <f t="shared" si="3"/>
        <v>6</v>
      </c>
      <c r="E100">
        <v>26396653</v>
      </c>
    </row>
    <row r="101" spans="1:5" x14ac:dyDescent="0.25">
      <c r="A101" t="s">
        <v>403</v>
      </c>
      <c r="B101" s="33" t="s">
        <v>205</v>
      </c>
      <c r="C101" s="33" t="s">
        <v>402</v>
      </c>
      <c r="D101">
        <f t="shared" si="3"/>
        <v>6</v>
      </c>
      <c r="E101">
        <v>34942796</v>
      </c>
    </row>
    <row r="102" spans="1:5" x14ac:dyDescent="0.25">
      <c r="A102" t="s">
        <v>463</v>
      </c>
      <c r="B102" s="33" t="s">
        <v>461</v>
      </c>
      <c r="C102" s="33" t="s">
        <v>462</v>
      </c>
      <c r="D102">
        <f t="shared" si="3"/>
        <v>6</v>
      </c>
      <c r="E102">
        <v>22275285</v>
      </c>
    </row>
    <row r="103" spans="1:5" x14ac:dyDescent="0.25">
      <c r="A103" t="s">
        <v>423</v>
      </c>
      <c r="B103" s="33" t="s">
        <v>205</v>
      </c>
      <c r="C103" s="33" t="s">
        <v>422</v>
      </c>
      <c r="D103">
        <f t="shared" si="3"/>
        <v>6</v>
      </c>
      <c r="E103">
        <v>29052804</v>
      </c>
    </row>
    <row r="104" spans="1:5" x14ac:dyDescent="0.25">
      <c r="A104" t="s">
        <v>305</v>
      </c>
      <c r="B104" s="33" t="s">
        <v>205</v>
      </c>
      <c r="C104" s="33" t="s">
        <v>304</v>
      </c>
      <c r="D104">
        <f t="shared" si="3"/>
        <v>6</v>
      </c>
      <c r="E104">
        <v>18311083</v>
      </c>
    </row>
    <row r="105" spans="1:5" x14ac:dyDescent="0.25">
      <c r="A105" t="s">
        <v>397</v>
      </c>
      <c r="B105" s="33" t="s">
        <v>205</v>
      </c>
      <c r="C105" s="33" t="s">
        <v>396</v>
      </c>
      <c r="D105">
        <f t="shared" si="3"/>
        <v>6</v>
      </c>
      <c r="E105">
        <v>38532171</v>
      </c>
    </row>
    <row r="106" spans="1:5" x14ac:dyDescent="0.25">
      <c r="A106" t="s">
        <v>413</v>
      </c>
      <c r="B106" s="33" t="s">
        <v>205</v>
      </c>
      <c r="C106" s="33" t="s">
        <v>412</v>
      </c>
      <c r="D106">
        <f t="shared" si="3"/>
        <v>6</v>
      </c>
      <c r="E106">
        <v>35392278</v>
      </c>
    </row>
    <row r="107" spans="1:5" x14ac:dyDescent="0.25">
      <c r="A107" t="s">
        <v>361</v>
      </c>
      <c r="B107" s="33" t="s">
        <v>205</v>
      </c>
      <c r="C107" s="33" t="s">
        <v>360</v>
      </c>
      <c r="D107">
        <f t="shared" si="3"/>
        <v>6</v>
      </c>
      <c r="E107">
        <v>34474028</v>
      </c>
    </row>
    <row r="108" spans="1:5" x14ac:dyDescent="0.25">
      <c r="A108" t="s">
        <v>349</v>
      </c>
      <c r="B108" s="33" t="s">
        <v>205</v>
      </c>
      <c r="C108" s="33" t="s">
        <v>348</v>
      </c>
      <c r="D108">
        <f t="shared" si="3"/>
        <v>6</v>
      </c>
      <c r="E108">
        <v>28046805</v>
      </c>
    </row>
    <row r="109" spans="1:5" x14ac:dyDescent="0.25">
      <c r="A109" t="s">
        <v>341</v>
      </c>
      <c r="B109" s="33" t="s">
        <v>205</v>
      </c>
      <c r="C109" s="33" t="s">
        <v>340</v>
      </c>
      <c r="D109">
        <f t="shared" si="3"/>
        <v>6</v>
      </c>
      <c r="E109">
        <v>35158896</v>
      </c>
    </row>
    <row r="110" spans="1:5" x14ac:dyDescent="0.25">
      <c r="A110" t="s">
        <v>271</v>
      </c>
      <c r="B110" s="33" t="s">
        <v>205</v>
      </c>
      <c r="C110" s="33" t="s">
        <v>270</v>
      </c>
      <c r="D110">
        <f t="shared" si="3"/>
        <v>6</v>
      </c>
      <c r="E110">
        <v>25418728</v>
      </c>
    </row>
    <row r="111" spans="1:5" x14ac:dyDescent="0.25">
      <c r="A111" t="s">
        <v>1595</v>
      </c>
      <c r="B111" t="s">
        <v>205</v>
      </c>
      <c r="C111" s="33" t="s">
        <v>1596</v>
      </c>
      <c r="D111">
        <f t="shared" si="3"/>
        <v>6</v>
      </c>
      <c r="E111">
        <v>24310804</v>
      </c>
    </row>
    <row r="112" spans="1:5" x14ac:dyDescent="0.25">
      <c r="A112" t="s">
        <v>1568</v>
      </c>
      <c r="B112" t="s">
        <v>205</v>
      </c>
      <c r="C112" s="33" t="s">
        <v>1569</v>
      </c>
      <c r="D112">
        <f t="shared" si="3"/>
        <v>6</v>
      </c>
      <c r="E112">
        <v>23522937</v>
      </c>
    </row>
    <row r="113" spans="1:5" x14ac:dyDescent="0.25">
      <c r="A113" t="s">
        <v>381</v>
      </c>
      <c r="B113" s="33" t="s">
        <v>205</v>
      </c>
      <c r="C113" s="33" t="s">
        <v>380</v>
      </c>
      <c r="D113">
        <f t="shared" si="3"/>
        <v>6</v>
      </c>
      <c r="E113">
        <v>23990719</v>
      </c>
    </row>
    <row r="114" spans="1:5" x14ac:dyDescent="0.25">
      <c r="A114" t="s">
        <v>225</v>
      </c>
      <c r="B114" s="33" t="s">
        <v>205</v>
      </c>
      <c r="C114" s="33" t="s">
        <v>224</v>
      </c>
      <c r="D114">
        <f t="shared" si="3"/>
        <v>6</v>
      </c>
      <c r="E114">
        <v>24458423</v>
      </c>
    </row>
    <row r="115" spans="1:5" x14ac:dyDescent="0.25">
      <c r="A115" t="s">
        <v>311</v>
      </c>
      <c r="B115" s="33" t="s">
        <v>205</v>
      </c>
      <c r="C115" s="33" t="s">
        <v>310</v>
      </c>
      <c r="D115">
        <f t="shared" si="3"/>
        <v>6</v>
      </c>
      <c r="E115">
        <v>21732756</v>
      </c>
    </row>
    <row r="116" spans="1:5" x14ac:dyDescent="0.25">
      <c r="A116" t="s">
        <v>411</v>
      </c>
      <c r="B116" s="33" t="s">
        <v>205</v>
      </c>
      <c r="C116" s="33" t="s">
        <v>410</v>
      </c>
      <c r="D116">
        <f t="shared" si="3"/>
        <v>6</v>
      </c>
      <c r="E116">
        <v>24721977</v>
      </c>
    </row>
    <row r="117" spans="1:5" x14ac:dyDescent="0.25">
      <c r="A117" t="s">
        <v>1520</v>
      </c>
      <c r="B117" t="s">
        <v>205</v>
      </c>
      <c r="C117" s="33" t="s">
        <v>1529</v>
      </c>
      <c r="D117">
        <f t="shared" si="3"/>
        <v>6</v>
      </c>
      <c r="E117">
        <v>28957287</v>
      </c>
    </row>
    <row r="118" spans="1:5" x14ac:dyDescent="0.25">
      <c r="A118" t="s">
        <v>325</v>
      </c>
      <c r="B118" s="33" t="s">
        <v>205</v>
      </c>
      <c r="C118" s="33" t="s">
        <v>324</v>
      </c>
      <c r="D118">
        <f t="shared" si="3"/>
        <v>6</v>
      </c>
      <c r="E118">
        <v>24063599</v>
      </c>
    </row>
    <row r="119" spans="1:5" x14ac:dyDescent="0.25">
      <c r="A119" t="s">
        <v>353</v>
      </c>
      <c r="B119" s="33" t="s">
        <v>205</v>
      </c>
      <c r="C119" s="33" t="s">
        <v>352</v>
      </c>
      <c r="D119">
        <f t="shared" si="3"/>
        <v>6</v>
      </c>
      <c r="E119">
        <v>26266711</v>
      </c>
    </row>
    <row r="120" spans="1:5" x14ac:dyDescent="0.25">
      <c r="A120" t="s">
        <v>439</v>
      </c>
      <c r="B120" s="33" t="s">
        <v>205</v>
      </c>
      <c r="C120" s="33" t="s">
        <v>438</v>
      </c>
      <c r="D120">
        <f t="shared" si="3"/>
        <v>6</v>
      </c>
      <c r="E120">
        <v>31251226</v>
      </c>
    </row>
    <row r="121" spans="1:5" x14ac:dyDescent="0.25">
      <c r="A121" t="s">
        <v>257</v>
      </c>
      <c r="B121" s="33" t="s">
        <v>205</v>
      </c>
      <c r="C121" s="33" t="s">
        <v>256</v>
      </c>
      <c r="D121">
        <f t="shared" si="3"/>
        <v>6</v>
      </c>
      <c r="E121">
        <v>24782150</v>
      </c>
    </row>
    <row r="122" spans="1:5" x14ac:dyDescent="0.25">
      <c r="A122" t="s">
        <v>1564</v>
      </c>
      <c r="B122" t="s">
        <v>205</v>
      </c>
      <c r="C122" s="33" t="s">
        <v>1565</v>
      </c>
      <c r="D122">
        <f t="shared" si="3"/>
        <v>6</v>
      </c>
      <c r="E122">
        <v>27565444</v>
      </c>
    </row>
    <row r="123" spans="1:5" x14ac:dyDescent="0.25">
      <c r="A123" t="s">
        <v>458</v>
      </c>
      <c r="B123" s="33" t="s">
        <v>454</v>
      </c>
      <c r="C123" s="33" t="s">
        <v>457</v>
      </c>
      <c r="D123">
        <f t="shared" si="3"/>
        <v>6</v>
      </c>
      <c r="E123">
        <v>26043068</v>
      </c>
    </row>
    <row r="124" spans="1:5" x14ac:dyDescent="0.25">
      <c r="A124" t="s">
        <v>321</v>
      </c>
      <c r="B124" s="33" t="s">
        <v>205</v>
      </c>
      <c r="C124" s="33" t="s">
        <v>320</v>
      </c>
      <c r="D124">
        <f t="shared" si="3"/>
        <v>6</v>
      </c>
      <c r="E124">
        <v>31459990</v>
      </c>
    </row>
    <row r="125" spans="1:5" x14ac:dyDescent="0.25">
      <c r="A125" t="s">
        <v>261</v>
      </c>
      <c r="B125" s="33" t="s">
        <v>205</v>
      </c>
      <c r="C125" s="33" t="s">
        <v>260</v>
      </c>
      <c r="D125">
        <f t="shared" si="3"/>
        <v>6</v>
      </c>
      <c r="E125">
        <v>26882226</v>
      </c>
    </row>
    <row r="126" spans="1:5" x14ac:dyDescent="0.25">
      <c r="A126" t="s">
        <v>375</v>
      </c>
      <c r="B126" s="33" t="s">
        <v>205</v>
      </c>
      <c r="C126" s="33" t="s">
        <v>374</v>
      </c>
      <c r="D126">
        <f t="shared" si="3"/>
        <v>6</v>
      </c>
      <c r="E126">
        <v>32102589</v>
      </c>
    </row>
    <row r="127" spans="1:5" x14ac:dyDescent="0.25">
      <c r="A127" t="s">
        <v>367</v>
      </c>
      <c r="B127" s="33" t="s">
        <v>205</v>
      </c>
      <c r="C127" s="33" t="s">
        <v>366</v>
      </c>
      <c r="D127">
        <f t="shared" si="3"/>
        <v>6</v>
      </c>
      <c r="E127">
        <v>33401599</v>
      </c>
    </row>
    <row r="128" spans="1:5" x14ac:dyDescent="0.25">
      <c r="A128" t="s">
        <v>1576</v>
      </c>
      <c r="B128" s="33" t="s">
        <v>205</v>
      </c>
      <c r="C128" s="33" t="s">
        <v>1577</v>
      </c>
      <c r="D128">
        <f t="shared" si="3"/>
        <v>6</v>
      </c>
      <c r="E128">
        <v>94449160</v>
      </c>
    </row>
    <row r="129" spans="1:5" x14ac:dyDescent="0.25">
      <c r="A129" t="s">
        <v>1583</v>
      </c>
      <c r="B129" t="s">
        <v>205</v>
      </c>
      <c r="C129" s="33" t="s">
        <v>1587</v>
      </c>
      <c r="D129">
        <f t="shared" si="3"/>
        <v>6</v>
      </c>
      <c r="E129">
        <v>24935490</v>
      </c>
    </row>
    <row r="130" spans="1:5" x14ac:dyDescent="0.25">
      <c r="A130" t="s">
        <v>219</v>
      </c>
      <c r="B130" s="33" t="s">
        <v>205</v>
      </c>
      <c r="C130" s="33" t="s">
        <v>218</v>
      </c>
      <c r="D130">
        <f t="shared" ref="D130:D161" si="4">LEN(C130)</f>
        <v>6</v>
      </c>
      <c r="E130">
        <v>17675211</v>
      </c>
    </row>
    <row r="131" spans="1:5" x14ac:dyDescent="0.25">
      <c r="A131" t="s">
        <v>433</v>
      </c>
      <c r="B131" s="33" t="s">
        <v>205</v>
      </c>
      <c r="C131" s="33" t="s">
        <v>432</v>
      </c>
      <c r="D131">
        <f t="shared" si="4"/>
        <v>6</v>
      </c>
      <c r="E131">
        <v>33907293</v>
      </c>
    </row>
    <row r="132" spans="1:5" x14ac:dyDescent="0.25">
      <c r="A132" t="s">
        <v>445</v>
      </c>
      <c r="B132" s="33" t="s">
        <v>205</v>
      </c>
      <c r="C132" s="33" t="s">
        <v>444</v>
      </c>
      <c r="D132">
        <f t="shared" si="4"/>
        <v>6</v>
      </c>
      <c r="E132">
        <v>25901218</v>
      </c>
    </row>
    <row r="133" spans="1:5" x14ac:dyDescent="0.25">
      <c r="A133" t="s">
        <v>1585</v>
      </c>
      <c r="B133" t="s">
        <v>205</v>
      </c>
      <c r="C133" s="33" t="s">
        <v>1589</v>
      </c>
      <c r="D133">
        <f t="shared" si="4"/>
        <v>6</v>
      </c>
      <c r="E133">
        <v>36991745</v>
      </c>
    </row>
    <row r="134" spans="1:5" x14ac:dyDescent="0.25">
      <c r="A134" t="s">
        <v>297</v>
      </c>
      <c r="B134" s="33" t="s">
        <v>205</v>
      </c>
      <c r="C134" s="33" t="s">
        <v>296</v>
      </c>
      <c r="D134">
        <f t="shared" si="4"/>
        <v>6</v>
      </c>
      <c r="E134">
        <v>17212799</v>
      </c>
    </row>
    <row r="135" spans="1:5" x14ac:dyDescent="0.25">
      <c r="A135" t="s">
        <v>441</v>
      </c>
      <c r="B135" s="33" t="s">
        <v>205</v>
      </c>
      <c r="C135" s="33" t="s">
        <v>440</v>
      </c>
      <c r="D135">
        <f t="shared" si="4"/>
        <v>6</v>
      </c>
      <c r="E135">
        <v>34984112</v>
      </c>
    </row>
    <row r="136" spans="1:5" x14ac:dyDescent="0.25">
      <c r="A136" t="s">
        <v>249</v>
      </c>
      <c r="B136" s="33" t="s">
        <v>205</v>
      </c>
      <c r="C136" s="33" t="s">
        <v>248</v>
      </c>
      <c r="D136">
        <f t="shared" si="4"/>
        <v>6</v>
      </c>
      <c r="E136">
        <v>25504578</v>
      </c>
    </row>
    <row r="137" spans="1:5" x14ac:dyDescent="0.25">
      <c r="A137" t="s">
        <v>241</v>
      </c>
      <c r="B137" s="33" t="s">
        <v>205</v>
      </c>
      <c r="C137" s="33" t="s">
        <v>240</v>
      </c>
      <c r="D137">
        <f t="shared" si="4"/>
        <v>6</v>
      </c>
      <c r="E137">
        <v>26505826</v>
      </c>
    </row>
    <row r="138" spans="1:5" x14ac:dyDescent="0.25">
      <c r="A138" t="s">
        <v>247</v>
      </c>
      <c r="B138" s="33" t="s">
        <v>205</v>
      </c>
      <c r="C138" s="33" t="s">
        <v>246</v>
      </c>
      <c r="D138">
        <f t="shared" si="4"/>
        <v>6</v>
      </c>
      <c r="E138">
        <v>18504732</v>
      </c>
    </row>
    <row r="139" spans="1:5" x14ac:dyDescent="0.25">
      <c r="A139" t="s">
        <v>1560</v>
      </c>
      <c r="B139" t="s">
        <v>205</v>
      </c>
      <c r="C139" s="33" t="s">
        <v>1561</v>
      </c>
      <c r="D139">
        <f t="shared" si="4"/>
        <v>6</v>
      </c>
      <c r="E139">
        <v>28876491</v>
      </c>
    </row>
    <row r="140" spans="1:5" x14ac:dyDescent="0.25">
      <c r="A140" t="s">
        <v>265</v>
      </c>
      <c r="B140" s="33" t="s">
        <v>205</v>
      </c>
      <c r="C140" s="33" t="s">
        <v>264</v>
      </c>
      <c r="D140">
        <f t="shared" si="4"/>
        <v>6</v>
      </c>
      <c r="E140">
        <v>26146775</v>
      </c>
    </row>
    <row r="141" spans="1:5" x14ac:dyDescent="0.25">
      <c r="A141" t="s">
        <v>409</v>
      </c>
      <c r="B141" s="33" t="s">
        <v>205</v>
      </c>
      <c r="C141" s="33" t="s">
        <v>408</v>
      </c>
      <c r="D141">
        <f t="shared" si="4"/>
        <v>6</v>
      </c>
      <c r="E141">
        <v>23802492</v>
      </c>
    </row>
    <row r="142" spans="1:5" x14ac:dyDescent="0.25">
      <c r="A142" t="s">
        <v>291</v>
      </c>
      <c r="B142" s="33" t="s">
        <v>205</v>
      </c>
      <c r="C142" s="33" t="s">
        <v>290</v>
      </c>
      <c r="D142">
        <f t="shared" si="4"/>
        <v>6</v>
      </c>
      <c r="E142">
        <v>34265153</v>
      </c>
    </row>
    <row r="143" spans="1:5" x14ac:dyDescent="0.25">
      <c r="A143" t="s">
        <v>217</v>
      </c>
      <c r="B143" s="33" t="s">
        <v>205</v>
      </c>
      <c r="C143" s="33" t="s">
        <v>216</v>
      </c>
      <c r="D143">
        <f t="shared" si="4"/>
        <v>6</v>
      </c>
      <c r="E143">
        <v>16033477</v>
      </c>
    </row>
    <row r="144" spans="1:5" x14ac:dyDescent="0.25">
      <c r="A144" t="s">
        <v>357</v>
      </c>
      <c r="B144" s="33" t="s">
        <v>205</v>
      </c>
      <c r="C144" s="33" t="s">
        <v>356</v>
      </c>
      <c r="D144">
        <f t="shared" si="4"/>
        <v>6</v>
      </c>
      <c r="E144">
        <v>17805138</v>
      </c>
    </row>
    <row r="145" spans="1:5" x14ac:dyDescent="0.25">
      <c r="A145" t="s">
        <v>431</v>
      </c>
      <c r="B145" s="33" t="s">
        <v>205</v>
      </c>
      <c r="C145" s="33" t="s">
        <v>430</v>
      </c>
      <c r="D145">
        <f t="shared" si="4"/>
        <v>6</v>
      </c>
      <c r="E145">
        <v>27070174</v>
      </c>
    </row>
    <row r="146" spans="1:5" x14ac:dyDescent="0.25">
      <c r="A146" t="s">
        <v>235</v>
      </c>
      <c r="B146" s="33" t="s">
        <v>205</v>
      </c>
      <c r="C146" s="33" t="s">
        <v>234</v>
      </c>
      <c r="D146">
        <f t="shared" si="4"/>
        <v>6</v>
      </c>
      <c r="E146">
        <v>14583977</v>
      </c>
    </row>
    <row r="147" spans="1:5" x14ac:dyDescent="0.25">
      <c r="A147" t="s">
        <v>371</v>
      </c>
      <c r="B147" s="33" t="s">
        <v>205</v>
      </c>
      <c r="C147" s="33" t="s">
        <v>370</v>
      </c>
      <c r="D147">
        <f t="shared" si="4"/>
        <v>6</v>
      </c>
      <c r="E147">
        <v>27308993</v>
      </c>
    </row>
    <row r="148" spans="1:5" x14ac:dyDescent="0.25">
      <c r="A148" t="s">
        <v>327</v>
      </c>
      <c r="B148" s="33" t="s">
        <v>205</v>
      </c>
      <c r="C148" s="33" t="s">
        <v>326</v>
      </c>
      <c r="D148">
        <f t="shared" si="4"/>
        <v>6</v>
      </c>
      <c r="E148">
        <v>18619331</v>
      </c>
    </row>
    <row r="149" spans="1:5" x14ac:dyDescent="0.25">
      <c r="A149" t="s">
        <v>1562</v>
      </c>
      <c r="B149" t="s">
        <v>205</v>
      </c>
      <c r="C149" s="33" t="s">
        <v>1563</v>
      </c>
      <c r="D149">
        <f t="shared" si="4"/>
        <v>6</v>
      </c>
      <c r="E149">
        <v>30251273</v>
      </c>
    </row>
    <row r="150" spans="1:5" x14ac:dyDescent="0.25">
      <c r="A150" t="s">
        <v>443</v>
      </c>
      <c r="B150" s="33" t="s">
        <v>205</v>
      </c>
      <c r="C150" s="33" t="s">
        <v>442</v>
      </c>
      <c r="D150">
        <f t="shared" si="4"/>
        <v>6</v>
      </c>
      <c r="E150">
        <v>24064632</v>
      </c>
    </row>
    <row r="151" spans="1:5" x14ac:dyDescent="0.25">
      <c r="A151" t="s">
        <v>1517</v>
      </c>
      <c r="B151" t="s">
        <v>205</v>
      </c>
      <c r="C151" s="33" t="s">
        <v>1526</v>
      </c>
      <c r="D151">
        <f t="shared" si="4"/>
        <v>6</v>
      </c>
      <c r="E151">
        <v>33608358</v>
      </c>
    </row>
    <row r="152" spans="1:5" x14ac:dyDescent="0.25">
      <c r="A152" t="s">
        <v>421</v>
      </c>
      <c r="B152" s="33" t="s">
        <v>205</v>
      </c>
      <c r="C152" s="33" t="s">
        <v>420</v>
      </c>
      <c r="D152">
        <f t="shared" si="4"/>
        <v>6</v>
      </c>
      <c r="E152">
        <v>22203748</v>
      </c>
    </row>
    <row r="153" spans="1:5" x14ac:dyDescent="0.25">
      <c r="A153" t="s">
        <v>231</v>
      </c>
      <c r="B153" s="33" t="s">
        <v>205</v>
      </c>
      <c r="C153" s="33" t="s">
        <v>230</v>
      </c>
      <c r="D153">
        <f t="shared" si="4"/>
        <v>6</v>
      </c>
      <c r="E153">
        <v>17573915</v>
      </c>
    </row>
    <row r="154" spans="1:5" x14ac:dyDescent="0.25">
      <c r="A154" t="s">
        <v>460</v>
      </c>
      <c r="B154" s="33" t="s">
        <v>454</v>
      </c>
      <c r="C154" s="33" t="s">
        <v>459</v>
      </c>
      <c r="D154">
        <f t="shared" si="4"/>
        <v>6</v>
      </c>
      <c r="E154">
        <v>18387614</v>
      </c>
    </row>
    <row r="155" spans="1:5" x14ac:dyDescent="0.25">
      <c r="A155" t="s">
        <v>1591</v>
      </c>
      <c r="B155" t="s">
        <v>205</v>
      </c>
      <c r="C155" s="33" t="s">
        <v>1592</v>
      </c>
      <c r="D155">
        <f t="shared" si="4"/>
        <v>6</v>
      </c>
      <c r="E155">
        <v>25152793</v>
      </c>
    </row>
    <row r="156" spans="1:5" x14ac:dyDescent="0.25">
      <c r="A156" t="s">
        <v>229</v>
      </c>
      <c r="B156" s="33" t="s">
        <v>205</v>
      </c>
      <c r="C156" s="33" t="s">
        <v>228</v>
      </c>
      <c r="D156">
        <f t="shared" si="4"/>
        <v>6</v>
      </c>
      <c r="E156">
        <v>25971793</v>
      </c>
    </row>
    <row r="157" spans="1:5" x14ac:dyDescent="0.25">
      <c r="A157" t="s">
        <v>1572</v>
      </c>
      <c r="B157" t="s">
        <v>205</v>
      </c>
      <c r="C157" s="33" t="s">
        <v>1573</v>
      </c>
      <c r="D157">
        <f t="shared" si="4"/>
        <v>6</v>
      </c>
      <c r="E157">
        <v>34674366</v>
      </c>
    </row>
    <row r="158" spans="1:5" x14ac:dyDescent="0.25">
      <c r="A158" t="s">
        <v>1516</v>
      </c>
      <c r="B158" t="s">
        <v>205</v>
      </c>
      <c r="C158" s="33" t="s">
        <v>1525</v>
      </c>
      <c r="D158">
        <f t="shared" si="4"/>
        <v>6</v>
      </c>
      <c r="E158">
        <v>28990133</v>
      </c>
    </row>
    <row r="159" spans="1:5" x14ac:dyDescent="0.25">
      <c r="A159" t="s">
        <v>283</v>
      </c>
      <c r="B159" s="33" t="s">
        <v>205</v>
      </c>
      <c r="C159" s="33" t="s">
        <v>282</v>
      </c>
      <c r="D159">
        <f t="shared" si="4"/>
        <v>6</v>
      </c>
      <c r="E159">
        <v>32305957</v>
      </c>
    </row>
    <row r="160" spans="1:5" x14ac:dyDescent="0.25">
      <c r="A160" t="s">
        <v>269</v>
      </c>
      <c r="B160" s="33" t="s">
        <v>205</v>
      </c>
      <c r="C160" s="33" t="s">
        <v>268</v>
      </c>
      <c r="D160">
        <f t="shared" si="4"/>
        <v>6</v>
      </c>
      <c r="E160">
        <v>24249329</v>
      </c>
    </row>
    <row r="161" spans="1:5" x14ac:dyDescent="0.25">
      <c r="A161" t="s">
        <v>383</v>
      </c>
      <c r="B161" s="33" t="s">
        <v>205</v>
      </c>
      <c r="C161" s="33" t="s">
        <v>382</v>
      </c>
      <c r="D161">
        <f t="shared" si="4"/>
        <v>6</v>
      </c>
      <c r="E161">
        <v>30438972</v>
      </c>
    </row>
    <row r="162" spans="1:5" x14ac:dyDescent="0.25">
      <c r="A162" t="s">
        <v>1570</v>
      </c>
      <c r="B162" t="s">
        <v>205</v>
      </c>
      <c r="C162" s="33" t="s">
        <v>1571</v>
      </c>
      <c r="D162">
        <f t="shared" ref="D162:D163" si="5">LEN(C162)</f>
        <v>6</v>
      </c>
      <c r="E162">
        <v>25124743</v>
      </c>
    </row>
    <row r="163" spans="1:5" x14ac:dyDescent="0.25">
      <c r="A163" t="s">
        <v>355</v>
      </c>
      <c r="B163" s="33" t="s">
        <v>205</v>
      </c>
      <c r="C163" s="33" t="s">
        <v>354</v>
      </c>
      <c r="D163">
        <f t="shared" si="5"/>
        <v>6</v>
      </c>
      <c r="E163">
        <v>27723300</v>
      </c>
    </row>
  </sheetData>
  <autoFilter ref="A1:E163" xr:uid="{00000000-0001-0000-0300-000000000000}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HOJAS DE RUTA</vt:lpstr>
      <vt:lpstr>Programacion</vt:lpstr>
      <vt:lpstr>Formulas</vt:lpstr>
      <vt:lpstr>Choferes</vt:lpstr>
      <vt:lpstr>Programacion!Área_de_impresión</vt:lpstr>
    </vt:vector>
  </TitlesOfParts>
  <Company>YPF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BARRAGUE Santiago</dc:creator>
  <cp:lastModifiedBy>BARRAGUE Santiago</cp:lastModifiedBy>
  <cp:lastPrinted>2023-03-16T14:00:12Z</cp:lastPrinted>
  <dcterms:created xsi:type="dcterms:W3CDTF">2011-04-15T12:57:18Z</dcterms:created>
  <dcterms:modified xsi:type="dcterms:W3CDTF">2023-04-15T18:57:35Z</dcterms:modified>
</cp:coreProperties>
</file>